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mestre\Projeto de Estradas\"/>
    </mc:Choice>
  </mc:AlternateContent>
  <xr:revisionPtr revIDLastSave="0" documentId="13_ncr:11_{3B547307-C22F-46FA-90E5-22B27F8C298A}" xr6:coauthVersionLast="46" xr6:coauthVersionMax="46" xr10:uidLastSave="{00000000-0000-0000-0000-000000000000}"/>
  <bookViews>
    <workbookView xWindow="-120" yWindow="-120" windowWidth="20730" windowHeight="11160" tabRatio="599" activeTab="2" xr2:uid="{17253723-8692-45FC-93BB-C901843307C8}"/>
  </bookViews>
  <sheets>
    <sheet name="Dados" sheetId="1" r:id="rId1"/>
    <sheet name="Locação" sheetId="2" r:id="rId2"/>
    <sheet name="Curva de Transição 1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1" l="1"/>
  <c r="F4" i="1" l="1"/>
  <c r="F6" i="1" l="1"/>
  <c r="F7" i="1"/>
  <c r="F8" i="1"/>
  <c r="F9" i="1"/>
  <c r="F10" i="1"/>
  <c r="F11" i="1"/>
  <c r="F12" i="1"/>
  <c r="F13" i="1"/>
  <c r="F14" i="1"/>
  <c r="F15" i="1"/>
  <c r="F5" i="1"/>
  <c r="H12" i="1"/>
  <c r="H13" i="1"/>
  <c r="G7" i="1"/>
  <c r="G8" i="1"/>
  <c r="H11" i="1"/>
  <c r="G9" i="1"/>
  <c r="M5" i="1"/>
  <c r="H7" i="1"/>
  <c r="G13" i="1"/>
  <c r="G14" i="1"/>
  <c r="H9" i="1"/>
  <c r="G6" i="1"/>
  <c r="G12" i="1"/>
  <c r="G15" i="1"/>
  <c r="H14" i="1"/>
  <c r="H15" i="1"/>
  <c r="G10" i="1"/>
  <c r="H8" i="1"/>
  <c r="H10" i="1"/>
  <c r="H6" i="1"/>
  <c r="G11" i="1"/>
  <c r="H5" i="1"/>
  <c r="J5" i="1" l="1"/>
  <c r="J7" i="1"/>
  <c r="J14" i="1"/>
  <c r="J10" i="1"/>
  <c r="J6" i="1"/>
  <c r="J15" i="1"/>
  <c r="J11" i="1"/>
  <c r="J13" i="1"/>
  <c r="J9" i="1"/>
  <c r="J12" i="1"/>
  <c r="J8" i="1"/>
  <c r="F3" i="1"/>
  <c r="G3" i="1"/>
  <c r="C13" i="1"/>
  <c r="M3" i="1"/>
  <c r="G5" i="1"/>
  <c r="C9" i="1"/>
  <c r="H4" i="1"/>
  <c r="C4" i="1"/>
  <c r="H3" i="1"/>
  <c r="I7" i="1"/>
  <c r="C15" i="1"/>
  <c r="C7" i="1"/>
  <c r="I14" i="1"/>
  <c r="C12" i="1"/>
  <c r="I12" i="1"/>
  <c r="I10" i="1"/>
  <c r="I6" i="1"/>
  <c r="I11" i="1"/>
  <c r="C6" i="1"/>
  <c r="C14" i="1"/>
  <c r="C11" i="1"/>
  <c r="M4" i="1"/>
  <c r="I5" i="1"/>
  <c r="I9" i="1"/>
  <c r="C10" i="1"/>
  <c r="C8" i="1"/>
  <c r="G4" i="1"/>
  <c r="C5" i="1"/>
  <c r="C3" i="1"/>
  <c r="I8" i="1"/>
  <c r="I15" i="1"/>
  <c r="I13" i="1"/>
  <c r="J4" i="1" l="1"/>
  <c r="J3" i="1"/>
  <c r="I3" i="1"/>
  <c r="I4" i="1"/>
</calcChain>
</file>

<file path=xl/sharedStrings.xml><?xml version="1.0" encoding="utf-8"?>
<sst xmlns="http://schemas.openxmlformats.org/spreadsheetml/2006/main" count="650" uniqueCount="423">
  <si>
    <t>Graus</t>
  </si>
  <si>
    <t>Deflexão</t>
  </si>
  <si>
    <t>Decimal</t>
  </si>
  <si>
    <t>Raio</t>
  </si>
  <si>
    <t>metros</t>
  </si>
  <si>
    <t>Raio corrigido</t>
  </si>
  <si>
    <t>Parâmetros</t>
  </si>
  <si>
    <t>L</t>
  </si>
  <si>
    <t>Dc corrigida</t>
  </si>
  <si>
    <t>m</t>
  </si>
  <si>
    <t>Dc</t>
  </si>
  <si>
    <t>Arco na concordancia simples</t>
  </si>
  <si>
    <t>Azimutes</t>
  </si>
  <si>
    <t>decimal</t>
  </si>
  <si>
    <t>graus</t>
  </si>
  <si>
    <t>Lc</t>
  </si>
  <si>
    <t>Arco na curva de transição</t>
  </si>
  <si>
    <t>D</t>
  </si>
  <si>
    <t>E</t>
  </si>
  <si>
    <t>S</t>
  </si>
  <si>
    <t>Instruções: 1 - Preencher os campos em verde 2 -No ultimo alinhamento insira o seu comprimento L e defina  R = 0. 3 - "S" indica o sentido da deflexão, E (esquerda negativo) e D (direita positivo)</t>
  </si>
  <si>
    <t>Ponto Final</t>
  </si>
  <si>
    <t>T</t>
  </si>
  <si>
    <t>PC</t>
  </si>
  <si>
    <t>PT</t>
  </si>
  <si>
    <t>TS</t>
  </si>
  <si>
    <t>SC</t>
  </si>
  <si>
    <t>Dt</t>
  </si>
  <si>
    <t>CS</t>
  </si>
  <si>
    <t>ST</t>
  </si>
  <si>
    <t>Estacas</t>
  </si>
  <si>
    <t>Arco acumulado</t>
  </si>
  <si>
    <t>S (rad)</t>
  </si>
  <si>
    <t>Coordenadas</t>
  </si>
  <si>
    <t>x(m)</t>
  </si>
  <si>
    <t>y(m)</t>
  </si>
  <si>
    <t>Simples</t>
  </si>
  <si>
    <t>Acumuladas</t>
  </si>
  <si>
    <t>Deflexões</t>
  </si>
  <si>
    <t>172º14'15''</t>
  </si>
  <si>
    <t>Estacas fracionárias</t>
  </si>
  <si>
    <t>Arcos</t>
  </si>
  <si>
    <t>40+0m</t>
  </si>
  <si>
    <t>40+10m</t>
  </si>
  <si>
    <t>41+0m</t>
  </si>
  <si>
    <t>41+10m</t>
  </si>
  <si>
    <t>42+0m</t>
  </si>
  <si>
    <t>42+10m</t>
  </si>
  <si>
    <t>43+0m</t>
  </si>
  <si>
    <t>43+10m</t>
  </si>
  <si>
    <t>44+0m</t>
  </si>
  <si>
    <t>44+10m</t>
  </si>
  <si>
    <t>45+0m</t>
  </si>
  <si>
    <t>45+10m</t>
  </si>
  <si>
    <t>46+0m</t>
  </si>
  <si>
    <t>46+10m</t>
  </si>
  <si>
    <t>47+0m</t>
  </si>
  <si>
    <t>47+10m</t>
  </si>
  <si>
    <t>48+0m</t>
  </si>
  <si>
    <t>48+10m</t>
  </si>
  <si>
    <t>49+0m</t>
  </si>
  <si>
    <t>49+10m</t>
  </si>
  <si>
    <t>50+0m</t>
  </si>
  <si>
    <t>50+10m</t>
  </si>
  <si>
    <t>51+0m</t>
  </si>
  <si>
    <t>51+10m</t>
  </si>
  <si>
    <t>52+0m</t>
  </si>
  <si>
    <t>52+10m</t>
  </si>
  <si>
    <t>53+0m</t>
  </si>
  <si>
    <t>53+10m</t>
  </si>
  <si>
    <t>54+0m</t>
  </si>
  <si>
    <t>54+10m</t>
  </si>
  <si>
    <t>55+0m</t>
  </si>
  <si>
    <t>55+10m</t>
  </si>
  <si>
    <t>56+0m</t>
  </si>
  <si>
    <t>56+10m</t>
  </si>
  <si>
    <t>57+0m</t>
  </si>
  <si>
    <t>57+10m</t>
  </si>
  <si>
    <t>58+0m</t>
  </si>
  <si>
    <t>58+10m</t>
  </si>
  <si>
    <t>59+0m</t>
  </si>
  <si>
    <t>59+10m</t>
  </si>
  <si>
    <t>60+0m</t>
  </si>
  <si>
    <t>60+10m</t>
  </si>
  <si>
    <t>61+0m</t>
  </si>
  <si>
    <t>61+10m</t>
  </si>
  <si>
    <t>62+0m</t>
  </si>
  <si>
    <t>62+10m</t>
  </si>
  <si>
    <t>63+0m</t>
  </si>
  <si>
    <t>63+10m</t>
  </si>
  <si>
    <t>64+0m</t>
  </si>
  <si>
    <t>Estacas inteiras</t>
  </si>
  <si>
    <t>29+3,5</t>
  </si>
  <si>
    <t>74+12,58</t>
  </si>
  <si>
    <t>151+9,9</t>
  </si>
  <si>
    <t>0º10'0''</t>
  </si>
  <si>
    <t>0º20'0''</t>
  </si>
  <si>
    <t>0º30'0''</t>
  </si>
  <si>
    <t>0º40'0''</t>
  </si>
  <si>
    <t>0º50'0''</t>
  </si>
  <si>
    <t>1º0'0''</t>
  </si>
  <si>
    <t>1º10'0''</t>
  </si>
  <si>
    <t>1º20'0''</t>
  </si>
  <si>
    <t>1º30'0''</t>
  </si>
  <si>
    <t>1º40'0''</t>
  </si>
  <si>
    <t>1º50'0''</t>
  </si>
  <si>
    <t>2º0'0''</t>
  </si>
  <si>
    <t>12º0'0''</t>
  </si>
  <si>
    <t>12º10'0''</t>
  </si>
  <si>
    <t>12º20'0''</t>
  </si>
  <si>
    <t>12º30'0''</t>
  </si>
  <si>
    <t>12º40'0''</t>
  </si>
  <si>
    <t>0º9'5''</t>
  </si>
  <si>
    <t>33+0m</t>
  </si>
  <si>
    <t>33+10m</t>
  </si>
  <si>
    <t>34+0m</t>
  </si>
  <si>
    <t>34+10m</t>
  </si>
  <si>
    <t>35+0m</t>
  </si>
  <si>
    <t>35+10m</t>
  </si>
  <si>
    <t>36+0m</t>
  </si>
  <si>
    <t>36+10m</t>
  </si>
  <si>
    <t>37+0m</t>
  </si>
  <si>
    <t>37+10m</t>
  </si>
  <si>
    <t>38+0m</t>
  </si>
  <si>
    <t>38+10m</t>
  </si>
  <si>
    <t>39+0m</t>
  </si>
  <si>
    <t>39+10m</t>
  </si>
  <si>
    <t>64+10m</t>
  </si>
  <si>
    <t>65+0m</t>
  </si>
  <si>
    <t>65+10m</t>
  </si>
  <si>
    <t>66+0m</t>
  </si>
  <si>
    <t>66+10m</t>
  </si>
  <si>
    <t>67+0m</t>
  </si>
  <si>
    <t>67+10m</t>
  </si>
  <si>
    <t>68+0m</t>
  </si>
  <si>
    <t>68+10m</t>
  </si>
  <si>
    <t>69+0m</t>
  </si>
  <si>
    <t>69+10m</t>
  </si>
  <si>
    <t>70+0m</t>
  </si>
  <si>
    <t>70+10m</t>
  </si>
  <si>
    <t>71+0m</t>
  </si>
  <si>
    <t>141º56'5''</t>
  </si>
  <si>
    <t>Comprimento das estacas</t>
  </si>
  <si>
    <t>25+13,38</t>
  </si>
  <si>
    <t>32+13,38</t>
  </si>
  <si>
    <t>71+2,46</t>
  </si>
  <si>
    <t>78+2,46</t>
  </si>
  <si>
    <t>TS=25+13,38</t>
  </si>
  <si>
    <t>0º0'14''</t>
  </si>
  <si>
    <t>26+3,38m</t>
  </si>
  <si>
    <t>0º0'57''</t>
  </si>
  <si>
    <t>26+13,38m</t>
  </si>
  <si>
    <t>0º2'9''</t>
  </si>
  <si>
    <t>27+3,38m</t>
  </si>
  <si>
    <t>0º3'49''</t>
  </si>
  <si>
    <t>27+13,38m</t>
  </si>
  <si>
    <t>0º5'57''</t>
  </si>
  <si>
    <t>28+3,38m</t>
  </si>
  <si>
    <t>0º8'34''</t>
  </si>
  <si>
    <t>28+13,38m</t>
  </si>
  <si>
    <t>0º11'40''</t>
  </si>
  <si>
    <t>29+3,38m</t>
  </si>
  <si>
    <t>0º15'14''</t>
  </si>
  <si>
    <t>29+13,38m</t>
  </si>
  <si>
    <t>0º19'17''</t>
  </si>
  <si>
    <t>30+3,38m</t>
  </si>
  <si>
    <t>0º23'49''</t>
  </si>
  <si>
    <t>30+13,38m</t>
  </si>
  <si>
    <t>0º28'49''</t>
  </si>
  <si>
    <t>31+3,38m</t>
  </si>
  <si>
    <t>0º34'17''</t>
  </si>
  <si>
    <t>31+13,38m</t>
  </si>
  <si>
    <t>0º40'14''</t>
  </si>
  <si>
    <t>32+3,38m</t>
  </si>
  <si>
    <t>0º46'40''</t>
  </si>
  <si>
    <t>SC=32+13,38m</t>
  </si>
  <si>
    <t>Ré = 1º33'20''</t>
  </si>
  <si>
    <t>169º54'15''</t>
  </si>
  <si>
    <t>33+3,38m</t>
  </si>
  <si>
    <t>33+13,38m</t>
  </si>
  <si>
    <t>34+3,38m</t>
  </si>
  <si>
    <t>34+13,38m</t>
  </si>
  <si>
    <t>35+3,38m</t>
  </si>
  <si>
    <t>35+13,38m</t>
  </si>
  <si>
    <t>36+3,38m</t>
  </si>
  <si>
    <t>36+13,38m</t>
  </si>
  <si>
    <t>37+3,38m</t>
  </si>
  <si>
    <t>37+13,38m</t>
  </si>
  <si>
    <t>38+3,38m</t>
  </si>
  <si>
    <t>38+13,38m</t>
  </si>
  <si>
    <t>68+13,38m</t>
  </si>
  <si>
    <t>69+3,38m</t>
  </si>
  <si>
    <t>69+13,38m</t>
  </si>
  <si>
    <t>70+3,38m</t>
  </si>
  <si>
    <t>70+13,38m</t>
  </si>
  <si>
    <t>CS=71+2,46m</t>
  </si>
  <si>
    <t>12º49'5''</t>
  </si>
  <si>
    <t>144º16'5''</t>
  </si>
  <si>
    <t>0º6'37''</t>
  </si>
  <si>
    <t>0º16'37''</t>
  </si>
  <si>
    <t>0º26'37''</t>
  </si>
  <si>
    <t>0º36'37''</t>
  </si>
  <si>
    <t>0º46'37''</t>
  </si>
  <si>
    <t>0º56'37''</t>
  </si>
  <si>
    <t>1º6'37''</t>
  </si>
  <si>
    <t>1º16'37''</t>
  </si>
  <si>
    <t>1º26'37''</t>
  </si>
  <si>
    <t>1º36'37''</t>
  </si>
  <si>
    <t>1º46'37''</t>
  </si>
  <si>
    <t>1º56'37''</t>
  </si>
  <si>
    <t>2º6'37''</t>
  </si>
  <si>
    <t>2º16'37''</t>
  </si>
  <si>
    <t>2º26'37''</t>
  </si>
  <si>
    <t>2º36'37''</t>
  </si>
  <si>
    <t>2º46'37''</t>
  </si>
  <si>
    <t>2º56'37''</t>
  </si>
  <si>
    <t>3º6'37''</t>
  </si>
  <si>
    <t>3º16'37''</t>
  </si>
  <si>
    <t>3º26'37''</t>
  </si>
  <si>
    <t>3º36'37''</t>
  </si>
  <si>
    <t>3º46'37''</t>
  </si>
  <si>
    <t>3º56'37''</t>
  </si>
  <si>
    <t>4º6'37''</t>
  </si>
  <si>
    <t>4º16'37''</t>
  </si>
  <si>
    <t>4º26'37''</t>
  </si>
  <si>
    <t>4º36'37''</t>
  </si>
  <si>
    <t>4º46'37''</t>
  </si>
  <si>
    <t>4º56'37''</t>
  </si>
  <si>
    <t>5º6'37''</t>
  </si>
  <si>
    <t>5º16'37''</t>
  </si>
  <si>
    <t>5º26'37''</t>
  </si>
  <si>
    <t>5º36'37''</t>
  </si>
  <si>
    <t>5º46'37''</t>
  </si>
  <si>
    <t>5º56'37''</t>
  </si>
  <si>
    <t>6º6'37''</t>
  </si>
  <si>
    <t>6º16'37''</t>
  </si>
  <si>
    <t>6º26'37''</t>
  </si>
  <si>
    <t>6º36'37''</t>
  </si>
  <si>
    <t>6º46'37''</t>
  </si>
  <si>
    <t>6º56'37''</t>
  </si>
  <si>
    <t>7º6'37''</t>
  </si>
  <si>
    <t>7º16'37''</t>
  </si>
  <si>
    <t>7º26'37''</t>
  </si>
  <si>
    <t>7º36'37''</t>
  </si>
  <si>
    <t>7º46'37''</t>
  </si>
  <si>
    <t>7º56'37''</t>
  </si>
  <si>
    <t>8º6'37''</t>
  </si>
  <si>
    <t>8º16'37''</t>
  </si>
  <si>
    <t>8º26'37''</t>
  </si>
  <si>
    <t>8º36'37''</t>
  </si>
  <si>
    <t>8º46'37''</t>
  </si>
  <si>
    <t>8º56'37''</t>
  </si>
  <si>
    <t>9º6'37''</t>
  </si>
  <si>
    <t>9º16'37''</t>
  </si>
  <si>
    <t>9º26'37''</t>
  </si>
  <si>
    <t>9º36'37''</t>
  </si>
  <si>
    <t>9º46'37''</t>
  </si>
  <si>
    <t>9º56'37''</t>
  </si>
  <si>
    <t>10º6'37''</t>
  </si>
  <si>
    <t>10º16'37''</t>
  </si>
  <si>
    <t>10º26'37''</t>
  </si>
  <si>
    <t>10º36'37''</t>
  </si>
  <si>
    <t>10º46'37''</t>
  </si>
  <si>
    <t>10º56'37''</t>
  </si>
  <si>
    <t>11º6'37''</t>
  </si>
  <si>
    <t>11º16'37''</t>
  </si>
  <si>
    <t>11º26'37''</t>
  </si>
  <si>
    <t>11º36'37''</t>
  </si>
  <si>
    <t>11º46'37''</t>
  </si>
  <si>
    <t>11º56'37''</t>
  </si>
  <si>
    <t>12º6'37''</t>
  </si>
  <si>
    <t>12º16'37''</t>
  </si>
  <si>
    <t>12º26'37''</t>
  </si>
  <si>
    <t>12º36'37''</t>
  </si>
  <si>
    <t>12º46'37''</t>
  </si>
  <si>
    <t>0º2'28''</t>
  </si>
  <si>
    <t>71+12,46m</t>
  </si>
  <si>
    <t>0º9'46''</t>
  </si>
  <si>
    <t>72+2,46m</t>
  </si>
  <si>
    <t>0º19'3''</t>
  </si>
  <si>
    <t>72+12,46m</t>
  </si>
  <si>
    <t>0º27'51''</t>
  </si>
  <si>
    <t>73+2,46m</t>
  </si>
  <si>
    <t>0º36'11''</t>
  </si>
  <si>
    <t>73+12,46m</t>
  </si>
  <si>
    <t>0º44'3''</t>
  </si>
  <si>
    <t>74+2,46m</t>
  </si>
  <si>
    <t>0º51'26''</t>
  </si>
  <si>
    <t>74+12,46m</t>
  </si>
  <si>
    <t>0º58'20''</t>
  </si>
  <si>
    <t>75+2,46m</t>
  </si>
  <si>
    <t>1º4'46''</t>
  </si>
  <si>
    <t>75+12,46m</t>
  </si>
  <si>
    <t>1º10'43''</t>
  </si>
  <si>
    <t>76+2,46m</t>
  </si>
  <si>
    <t>1º16'11''</t>
  </si>
  <si>
    <t>76+12,46m</t>
  </si>
  <si>
    <t>1º21'11''</t>
  </si>
  <si>
    <t>77+2,46m</t>
  </si>
  <si>
    <t>1º25'43''</t>
  </si>
  <si>
    <t>77+12,46m</t>
  </si>
  <si>
    <t>1º29'46''</t>
  </si>
  <si>
    <t>1º33'20''</t>
  </si>
  <si>
    <t>Ré = 0º46'40''</t>
  </si>
  <si>
    <t>ST=78+2,46</t>
  </si>
  <si>
    <t>2º10'0''</t>
  </si>
  <si>
    <t>39+3,38m</t>
  </si>
  <si>
    <t>2º20'0''</t>
  </si>
  <si>
    <t>39+13,38m</t>
  </si>
  <si>
    <t>2º30'0''</t>
  </si>
  <si>
    <t>40+3,38m</t>
  </si>
  <si>
    <t>2º40'0''</t>
  </si>
  <si>
    <t>40+13,38m</t>
  </si>
  <si>
    <t>2º50'0''</t>
  </si>
  <si>
    <t>41+3,38m</t>
  </si>
  <si>
    <t>3º0'0''</t>
  </si>
  <si>
    <t>41+13,38m</t>
  </si>
  <si>
    <t>3º10'0''</t>
  </si>
  <si>
    <t>42+3,38m</t>
  </si>
  <si>
    <t>3º20'0''</t>
  </si>
  <si>
    <t>42+13,38m</t>
  </si>
  <si>
    <t>3º30'0''</t>
  </si>
  <si>
    <t>43+3,38m</t>
  </si>
  <si>
    <t>3º40'0''</t>
  </si>
  <si>
    <t>43+13,38m</t>
  </si>
  <si>
    <t>3º50'0''</t>
  </si>
  <si>
    <t>44+3,38m</t>
  </si>
  <si>
    <t>4º0'0''</t>
  </si>
  <si>
    <t>44+13,38m</t>
  </si>
  <si>
    <t>4º10'0''</t>
  </si>
  <si>
    <t>45+3,38m</t>
  </si>
  <si>
    <t>4º20'0''</t>
  </si>
  <si>
    <t>45+13,38m</t>
  </si>
  <si>
    <t>4º30'0''</t>
  </si>
  <si>
    <t>46+3,38m</t>
  </si>
  <si>
    <t>4º40'0''</t>
  </si>
  <si>
    <t>46+13,38m</t>
  </si>
  <si>
    <t>4º50'0''</t>
  </si>
  <si>
    <t>47+3,38m</t>
  </si>
  <si>
    <t>5º0'0''</t>
  </si>
  <si>
    <t>47+13,38m</t>
  </si>
  <si>
    <t>5º10'0''</t>
  </si>
  <si>
    <t>48+3,38m</t>
  </si>
  <si>
    <t>5º20'0''</t>
  </si>
  <si>
    <t>48+13,38m</t>
  </si>
  <si>
    <t>5º30'0''</t>
  </si>
  <si>
    <t>49+3,38m</t>
  </si>
  <si>
    <t>5º40'0''</t>
  </si>
  <si>
    <t>49+13,38m</t>
  </si>
  <si>
    <t>5º50'0''</t>
  </si>
  <si>
    <t>50+3,38m</t>
  </si>
  <si>
    <t>6º0'0''</t>
  </si>
  <si>
    <t>50+13,38m</t>
  </si>
  <si>
    <t>6º10'0''</t>
  </si>
  <si>
    <t>51+3,38m</t>
  </si>
  <si>
    <t>6º20'0''</t>
  </si>
  <si>
    <t>51+13,38m</t>
  </si>
  <si>
    <t>6º30'0''</t>
  </si>
  <si>
    <t>52+3,38m</t>
  </si>
  <si>
    <t>6º40'0''</t>
  </si>
  <si>
    <t>52+13,38m</t>
  </si>
  <si>
    <t>6º50'0''</t>
  </si>
  <si>
    <t>53+3,38m</t>
  </si>
  <si>
    <t>7º0'0''</t>
  </si>
  <si>
    <t>53+13,38m</t>
  </si>
  <si>
    <t>7º10'0''</t>
  </si>
  <si>
    <t>54+3,38m</t>
  </si>
  <si>
    <t>7º20'0''</t>
  </si>
  <si>
    <t>54+13,38m</t>
  </si>
  <si>
    <t>7º30'0''</t>
  </si>
  <si>
    <t>55+3,38m</t>
  </si>
  <si>
    <t>7º40'0''</t>
  </si>
  <si>
    <t>55+13,38m</t>
  </si>
  <si>
    <t>7º50'0''</t>
  </si>
  <si>
    <t>56+3,38m</t>
  </si>
  <si>
    <t>8º0'0''</t>
  </si>
  <si>
    <t>56+13,38m</t>
  </si>
  <si>
    <t>8º10'0''</t>
  </si>
  <si>
    <t>57+3,38m</t>
  </si>
  <si>
    <t>8º20'0''</t>
  </si>
  <si>
    <t>57+13,38m</t>
  </si>
  <si>
    <t>8º30'0''</t>
  </si>
  <si>
    <t>58+3,38m</t>
  </si>
  <si>
    <t>8º40'0''</t>
  </si>
  <si>
    <t>58+13,38m</t>
  </si>
  <si>
    <t>8º50'0''</t>
  </si>
  <si>
    <t>59+3,38m</t>
  </si>
  <si>
    <t>9º0'0''</t>
  </si>
  <si>
    <t>59+13,38m</t>
  </si>
  <si>
    <t>9º10'0''</t>
  </si>
  <si>
    <t>60+3,38m</t>
  </si>
  <si>
    <t>9º20'0''</t>
  </si>
  <si>
    <t>60+13,38m</t>
  </si>
  <si>
    <t>9º30'0''</t>
  </si>
  <si>
    <t>61+3,38m</t>
  </si>
  <si>
    <t>9º40'0''</t>
  </si>
  <si>
    <t>61+13,38m</t>
  </si>
  <si>
    <t>9º50'0''</t>
  </si>
  <si>
    <t>62+3,38m</t>
  </si>
  <si>
    <t>10º0'0''</t>
  </si>
  <si>
    <t>62+13,38m</t>
  </si>
  <si>
    <t>10º10'0''</t>
  </si>
  <si>
    <t>63+3,38m</t>
  </si>
  <si>
    <t>10º20'0''</t>
  </si>
  <si>
    <t>63+13,38m</t>
  </si>
  <si>
    <t>10º30'0''</t>
  </si>
  <si>
    <t>64+3,38m</t>
  </si>
  <si>
    <t>10º40'0''</t>
  </si>
  <si>
    <t>64+13,38m</t>
  </si>
  <si>
    <t>10º50'0''</t>
  </si>
  <si>
    <t>65+3,38m</t>
  </si>
  <si>
    <t>11º0'0''</t>
  </si>
  <si>
    <t>65+13,38m</t>
  </si>
  <si>
    <t>11º10'0''</t>
  </si>
  <si>
    <t>66+3,38m</t>
  </si>
  <si>
    <t>11º20'0''</t>
  </si>
  <si>
    <t>66+13,38m</t>
  </si>
  <si>
    <t>11º30'0''</t>
  </si>
  <si>
    <t>67+3,38m</t>
  </si>
  <si>
    <t>11º40'0''</t>
  </si>
  <si>
    <t>67+13,38m</t>
  </si>
  <si>
    <t>11º50'0''</t>
  </si>
  <si>
    <t>68+3,38m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</si>
</sst>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2" fontId="2" fillId="3" borderId="0" xfId="0" applyNumberFormat="1" applyFont="1" applyFill="1"/>
    <xf numFmtId="0" fontId="2" fillId="3" borderId="0" xfId="0" applyFont="1" applyFill="1"/>
    <xf numFmtId="0" fontId="1" fillId="0" borderId="0" xfId="0" applyFont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0" xfId="1" applyNumberFormat="1" applyFont="1" applyBorder="1"/>
    <xf numFmtId="0" fontId="1" fillId="0" borderId="0" xfId="0" applyFont="1"/>
    <xf numFmtId="0" fontId="0" fillId="2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2" fillId="2" borderId="1" xfId="0" applyFont="1" applyFill="1" applyBorder="1"/>
    <xf numFmtId="0" fontId="7" fillId="2" borderId="1" xfId="0" applyFont="1" applyFill="1" applyBorder="1"/>
    <xf numFmtId="0" fontId="0" fillId="0" borderId="0" xfId="0" applyFont="1" applyAlignment="1">
      <alignment horizontal="center"/>
    </xf>
    <xf numFmtId="2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4" borderId="0" xfId="0" applyFill="1" applyAlignment="1">
      <alignment vertical="top" wrapText="1"/>
    </xf>
    <xf numFmtId="0" fontId="1" fillId="0" borderId="1" xfId="0" applyFont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AB$2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7</xdr:row>
          <xdr:rowOff>85725</xdr:rowOff>
        </xdr:from>
        <xdr:to>
          <xdr:col>19</xdr:col>
          <xdr:colOff>266700</xdr:colOff>
          <xdr:row>9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estacas dos pontos notaveis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4</xdr:row>
          <xdr:rowOff>123825</xdr:rowOff>
        </xdr:from>
        <xdr:to>
          <xdr:col>14</xdr:col>
          <xdr:colOff>1647825</xdr:colOff>
          <xdr:row>6</xdr:row>
          <xdr:rowOff>180975</xdr:rowOff>
        </xdr:to>
        <xdr:sp macro="" textlink="">
          <xdr:nvSpPr>
            <xdr:cNvPr id="1032" name="check_correcao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Usar raio corrigido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10</xdr:row>
          <xdr:rowOff>171450</xdr:rowOff>
        </xdr:from>
        <xdr:to>
          <xdr:col>19</xdr:col>
          <xdr:colOff>276225</xdr:colOff>
          <xdr:row>13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concordância simples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14</xdr:row>
          <xdr:rowOff>190500</xdr:rowOff>
        </xdr:from>
        <xdr:to>
          <xdr:col>19</xdr:col>
          <xdr:colOff>266700</xdr:colOff>
          <xdr:row>16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transição com curva simples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707EE-C78F-43C8-9D72-20EDFB591B78}">
  <sheetPr codeName="Sheet1"/>
  <dimension ref="A1:AB31"/>
  <sheetViews>
    <sheetView zoomScaleNormal="100" workbookViewId="0">
      <selection activeCell="E19" sqref="E19"/>
    </sheetView>
  </sheetViews>
  <sheetFormatPr defaultRowHeight="15" x14ac:dyDescent="0.25"/>
  <cols>
    <col min="1" max="1" width="3" bestFit="1" customWidth="1"/>
    <col min="2" max="2" width="9.28515625" customWidth="1"/>
    <col min="3" max="3" width="11.5703125" customWidth="1"/>
    <col min="4" max="4" width="12.7109375" customWidth="1"/>
    <col min="5" max="5" width="10.5703125" customWidth="1"/>
    <col min="6" max="6" width="8.140625" bestFit="1" customWidth="1"/>
    <col min="7" max="7" width="8.42578125" bestFit="1" customWidth="1"/>
    <col min="8" max="8" width="13.28515625" bestFit="1" customWidth="1"/>
    <col min="9" max="9" width="8.42578125" bestFit="1" customWidth="1"/>
    <col min="10" max="10" width="13.28515625" style="14" bestFit="1" customWidth="1"/>
    <col min="11" max="11" width="7.28515625" bestFit="1" customWidth="1"/>
    <col min="12" max="12" width="9" bestFit="1" customWidth="1"/>
    <col min="13" max="13" width="10.140625" bestFit="1" customWidth="1"/>
    <col min="14" max="14" width="4.42578125" bestFit="1" customWidth="1"/>
    <col min="15" max="15" width="27.42578125" bestFit="1" customWidth="1"/>
    <col min="17" max="17" width="2.85546875" bestFit="1" customWidth="1"/>
    <col min="28" max="28" width="12.42578125" bestFit="1" customWidth="1"/>
  </cols>
  <sheetData>
    <row r="1" spans="1:28" x14ac:dyDescent="0.25">
      <c r="B1" s="36" t="s">
        <v>1</v>
      </c>
      <c r="C1" s="36"/>
      <c r="D1" s="8" t="s">
        <v>3</v>
      </c>
      <c r="E1" s="8" t="s">
        <v>7</v>
      </c>
      <c r="F1" s="36" t="s">
        <v>10</v>
      </c>
      <c r="G1" s="36"/>
      <c r="H1" s="36" t="s">
        <v>8</v>
      </c>
      <c r="I1" s="36"/>
      <c r="J1" s="15" t="s">
        <v>5</v>
      </c>
      <c r="K1" s="12" t="s">
        <v>15</v>
      </c>
      <c r="L1" s="36" t="s">
        <v>12</v>
      </c>
      <c r="M1" s="36"/>
      <c r="N1" s="22" t="s">
        <v>19</v>
      </c>
      <c r="O1" s="36" t="s">
        <v>6</v>
      </c>
      <c r="P1" s="36"/>
      <c r="Q1" s="36"/>
    </row>
    <row r="2" spans="1:28" x14ac:dyDescent="0.25">
      <c r="A2" s="1"/>
      <c r="B2" s="2" t="s">
        <v>13</v>
      </c>
      <c r="C2" s="1" t="s">
        <v>0</v>
      </c>
      <c r="D2" s="2" t="s">
        <v>4</v>
      </c>
      <c r="E2" s="10" t="s">
        <v>4</v>
      </c>
      <c r="F2" s="11" t="s">
        <v>2</v>
      </c>
      <c r="G2" s="4" t="s">
        <v>0</v>
      </c>
      <c r="H2" s="1" t="s">
        <v>2</v>
      </c>
      <c r="I2" s="1" t="s">
        <v>0</v>
      </c>
      <c r="J2" s="13" t="s">
        <v>4</v>
      </c>
      <c r="K2" s="2" t="s">
        <v>4</v>
      </c>
      <c r="L2" s="2" t="s">
        <v>13</v>
      </c>
      <c r="M2" s="4" t="s">
        <v>14</v>
      </c>
      <c r="N2" s="25"/>
      <c r="O2" s="4" t="s">
        <v>142</v>
      </c>
      <c r="P2" s="6">
        <v>20</v>
      </c>
      <c r="Q2" s="7" t="s">
        <v>9</v>
      </c>
      <c r="AB2" t="b">
        <v>1</v>
      </c>
    </row>
    <row r="3" spans="1:28" x14ac:dyDescent="0.25">
      <c r="A3" s="8">
        <v>1</v>
      </c>
      <c r="B3" s="5">
        <v>30.302499999999998</v>
      </c>
      <c r="C3" s="1" t="str">
        <f>converter_graus(B3)</f>
        <v>30º18'9''</v>
      </c>
      <c r="D3" s="9">
        <v>1107.9079999999999</v>
      </c>
      <c r="E3" s="9">
        <v>1048.94</v>
      </c>
      <c r="F3" s="1">
        <f>ROUND(DEGREES(ASIN($P$3/(2*D3))),4)</f>
        <v>0.2586</v>
      </c>
      <c r="G3" s="1" t="str">
        <f>converter_graus(F3)</f>
        <v>0º15'31''</v>
      </c>
      <c r="H3" s="1" t="str">
        <f>corrigir_graus(F3)</f>
        <v>0,1666666667</v>
      </c>
      <c r="I3" s="1" t="str">
        <f>converter_graus(H3)</f>
        <v>0º10'0''</v>
      </c>
      <c r="J3" s="16">
        <f t="shared" ref="J3:J15" si="0">IF(H3="0",0,$P$3/(2*SIN(RADIANS(H3))))</f>
        <v>1718.8758091194939</v>
      </c>
      <c r="K3" s="3">
        <v>140</v>
      </c>
      <c r="L3" s="3">
        <v>172.23750000000001</v>
      </c>
      <c r="M3" t="str">
        <f>converter_graus(L3)</f>
        <v>172º14'15''</v>
      </c>
      <c r="N3" s="25" t="s">
        <v>18</v>
      </c>
      <c r="O3" t="s">
        <v>11</v>
      </c>
      <c r="P3" s="6">
        <v>10</v>
      </c>
      <c r="Q3" s="7" t="s">
        <v>9</v>
      </c>
    </row>
    <row r="4" spans="1:28" x14ac:dyDescent="0.25">
      <c r="A4" s="8">
        <v>2</v>
      </c>
      <c r="B4" s="5">
        <v>0</v>
      </c>
      <c r="C4" s="1" t="str">
        <f>converter_graus(B4)</f>
        <v>0º0'0''</v>
      </c>
      <c r="D4" s="9">
        <v>0</v>
      </c>
      <c r="E4" s="9">
        <v>2002.76</v>
      </c>
      <c r="F4" s="1">
        <f>IF(D4=0,0,ROUND(DEGREES(ASIN($P$3/(2*D4))),4))</f>
        <v>0</v>
      </c>
      <c r="G4" s="1" t="str">
        <f>converter_graus(F4)</f>
        <v>0º0'0''</v>
      </c>
      <c r="H4" s="1" t="str">
        <f>corrigir_graus(F4)</f>
        <v>0</v>
      </c>
      <c r="I4" s="27" t="str">
        <f t="shared" ref="I4:I15" si="1">converter_graus(H4)</f>
        <v>0º0'0''</v>
      </c>
      <c r="J4" s="16">
        <f t="shared" si="0"/>
        <v>0</v>
      </c>
      <c r="K4" s="3">
        <v>0</v>
      </c>
      <c r="L4" s="3">
        <v>141.935</v>
      </c>
      <c r="M4" t="str">
        <f>converter_graus(L4)</f>
        <v>141º56'6''</v>
      </c>
      <c r="N4" s="25"/>
      <c r="O4" s="13" t="s">
        <v>16</v>
      </c>
      <c r="P4" s="6">
        <v>10</v>
      </c>
      <c r="Q4" s="7" t="s">
        <v>9</v>
      </c>
    </row>
    <row r="5" spans="1:28" x14ac:dyDescent="0.25">
      <c r="A5" s="8">
        <v>3</v>
      </c>
      <c r="B5" s="23">
        <v>0</v>
      </c>
      <c r="C5" s="1" t="str">
        <f t="shared" ref="C5:C15" si="2">converter_graus(B5)</f>
        <v>0º0'0''</v>
      </c>
      <c r="D5" s="9">
        <v>0</v>
      </c>
      <c r="E5" s="9">
        <v>0</v>
      </c>
      <c r="F5" s="1">
        <f>IF(D5=0,0,ROUND(DEGREES(ASIN($P$3/(2*D5))),4))</f>
        <v>0</v>
      </c>
      <c r="G5" s="1" t="str">
        <f>converter_graus(F5)</f>
        <v>0º0'0''</v>
      </c>
      <c r="H5" s="1" t="str">
        <f>corrigir_graus(F5)</f>
        <v>0</v>
      </c>
      <c r="I5" s="1" t="str">
        <f t="shared" si="1"/>
        <v>0º0'0''</v>
      </c>
      <c r="J5" s="16">
        <f>IF(H5="0",0,$P$3/(2*SIN(RADIANS(H5))))</f>
        <v>0</v>
      </c>
      <c r="K5" s="3">
        <v>0</v>
      </c>
      <c r="L5" s="3">
        <v>0</v>
      </c>
      <c r="M5" t="str">
        <f>converter_graus(L5)</f>
        <v>0º0'0''</v>
      </c>
      <c r="N5" s="25"/>
    </row>
    <row r="6" spans="1:28" x14ac:dyDescent="0.25">
      <c r="A6" s="8">
        <v>4</v>
      </c>
      <c r="B6" s="2">
        <v>0</v>
      </c>
      <c r="C6" s="1" t="str">
        <f t="shared" si="2"/>
        <v>0º0'0''</v>
      </c>
      <c r="D6" s="2">
        <v>0</v>
      </c>
      <c r="E6" s="9">
        <v>0</v>
      </c>
      <c r="F6" s="1">
        <f t="shared" ref="F6:F15" si="3">IF(D6=0,0,ROUND(DEGREES(ASIN($P$3/(2*D6))),4))</f>
        <v>0</v>
      </c>
      <c r="G6" s="1" t="str">
        <f t="shared" ref="G6:G15" si="4">converter_graus(F6)</f>
        <v>0º0'0''</v>
      </c>
      <c r="H6" s="1" t="str">
        <f t="shared" ref="H6:H15" si="5">corrigir_graus(F6)</f>
        <v>0</v>
      </c>
      <c r="I6" s="1" t="str">
        <f t="shared" si="1"/>
        <v>0º0'0''</v>
      </c>
      <c r="J6" s="16">
        <f t="shared" si="0"/>
        <v>0</v>
      </c>
      <c r="K6" s="3"/>
      <c r="L6" s="3"/>
      <c r="N6" s="25"/>
    </row>
    <row r="7" spans="1:28" x14ac:dyDescent="0.25">
      <c r="A7" s="8">
        <v>5</v>
      </c>
      <c r="B7" s="2"/>
      <c r="C7" s="1" t="str">
        <f t="shared" si="2"/>
        <v>0º0'0''</v>
      </c>
      <c r="D7" s="2"/>
      <c r="E7" s="9"/>
      <c r="F7" s="1">
        <f t="shared" si="3"/>
        <v>0</v>
      </c>
      <c r="G7" s="1" t="str">
        <f t="shared" si="4"/>
        <v>0º0'0''</v>
      </c>
      <c r="H7" s="1" t="str">
        <f t="shared" si="5"/>
        <v>0</v>
      </c>
      <c r="I7" s="1" t="str">
        <f t="shared" si="1"/>
        <v>0º0'0''</v>
      </c>
      <c r="J7" s="16">
        <f t="shared" si="0"/>
        <v>0</v>
      </c>
      <c r="K7" s="3"/>
      <c r="L7" s="3"/>
      <c r="N7" s="25"/>
    </row>
    <row r="8" spans="1:28" x14ac:dyDescent="0.25">
      <c r="A8" s="8">
        <v>6</v>
      </c>
      <c r="B8" s="2"/>
      <c r="C8" s="1" t="str">
        <f t="shared" si="2"/>
        <v>0º0'0''</v>
      </c>
      <c r="D8" s="2"/>
      <c r="E8" s="9"/>
      <c r="F8" s="1">
        <f t="shared" si="3"/>
        <v>0</v>
      </c>
      <c r="G8" s="1" t="str">
        <f t="shared" si="4"/>
        <v>0º0'0''</v>
      </c>
      <c r="H8" s="1" t="str">
        <f t="shared" si="5"/>
        <v>0</v>
      </c>
      <c r="I8" s="1" t="str">
        <f t="shared" si="1"/>
        <v>0º0'0''</v>
      </c>
      <c r="J8" s="16">
        <f t="shared" si="0"/>
        <v>0</v>
      </c>
      <c r="K8" s="3"/>
      <c r="L8" s="3"/>
      <c r="N8" s="26"/>
    </row>
    <row r="9" spans="1:28" x14ac:dyDescent="0.25">
      <c r="A9" s="8">
        <v>7</v>
      </c>
      <c r="B9" s="2"/>
      <c r="C9" s="1" t="str">
        <f t="shared" si="2"/>
        <v>0º0'0''</v>
      </c>
      <c r="D9" s="2"/>
      <c r="E9" s="9"/>
      <c r="F9" s="1">
        <f t="shared" si="3"/>
        <v>0</v>
      </c>
      <c r="G9" s="1" t="str">
        <f t="shared" si="4"/>
        <v>0º0'0''</v>
      </c>
      <c r="H9" s="27" t="str">
        <f t="shared" si="5"/>
        <v>0</v>
      </c>
      <c r="I9" s="1" t="str">
        <f t="shared" si="1"/>
        <v>0º0'0''</v>
      </c>
      <c r="J9" s="16">
        <f t="shared" si="0"/>
        <v>0</v>
      </c>
      <c r="K9" s="3"/>
      <c r="L9" s="3"/>
      <c r="N9" s="25"/>
    </row>
    <row r="10" spans="1:28" x14ac:dyDescent="0.25">
      <c r="A10" s="8">
        <v>8</v>
      </c>
      <c r="B10" s="2"/>
      <c r="C10" s="1" t="str">
        <f t="shared" si="2"/>
        <v>0º0'0''</v>
      </c>
      <c r="D10" s="2"/>
      <c r="E10" s="9"/>
      <c r="F10" s="1">
        <f t="shared" si="3"/>
        <v>0</v>
      </c>
      <c r="G10" s="1" t="str">
        <f t="shared" si="4"/>
        <v>0º0'0''</v>
      </c>
      <c r="H10" s="1" t="str">
        <f t="shared" si="5"/>
        <v>0</v>
      </c>
      <c r="I10" s="1" t="str">
        <f t="shared" si="1"/>
        <v>0º0'0''</v>
      </c>
      <c r="J10" s="16">
        <f t="shared" si="0"/>
        <v>0</v>
      </c>
      <c r="K10" s="3"/>
      <c r="L10" s="3"/>
      <c r="N10" s="25"/>
    </row>
    <row r="11" spans="1:28" x14ac:dyDescent="0.25">
      <c r="A11" s="8">
        <v>9</v>
      </c>
      <c r="B11" s="2"/>
      <c r="C11" s="1" t="str">
        <f t="shared" si="2"/>
        <v>0º0'0''</v>
      </c>
      <c r="D11" s="2"/>
      <c r="E11" s="9"/>
      <c r="F11" s="1">
        <f t="shared" si="3"/>
        <v>0</v>
      </c>
      <c r="G11" s="1" t="str">
        <f t="shared" si="4"/>
        <v>0º0'0''</v>
      </c>
      <c r="H11" s="1" t="str">
        <f t="shared" si="5"/>
        <v>0</v>
      </c>
      <c r="I11" s="1" t="str">
        <f t="shared" si="1"/>
        <v>0º0'0''</v>
      </c>
      <c r="J11" s="16">
        <f t="shared" si="0"/>
        <v>0</v>
      </c>
      <c r="K11" s="3"/>
      <c r="L11" s="3"/>
      <c r="N11" s="25"/>
    </row>
    <row r="12" spans="1:28" x14ac:dyDescent="0.25">
      <c r="A12" s="8">
        <v>10</v>
      </c>
      <c r="B12" s="2"/>
      <c r="C12" s="1" t="str">
        <f t="shared" si="2"/>
        <v>0º0'0''</v>
      </c>
      <c r="D12" s="2"/>
      <c r="E12" s="9"/>
      <c r="F12" s="1">
        <f t="shared" si="3"/>
        <v>0</v>
      </c>
      <c r="G12" s="1" t="str">
        <f t="shared" si="4"/>
        <v>0º0'0''</v>
      </c>
      <c r="H12" s="1" t="str">
        <f t="shared" si="5"/>
        <v>0</v>
      </c>
      <c r="I12" s="24" t="str">
        <f t="shared" si="1"/>
        <v>0º0'0''</v>
      </c>
      <c r="J12" s="16">
        <f t="shared" si="0"/>
        <v>0</v>
      </c>
      <c r="K12" s="3"/>
      <c r="L12" s="3"/>
      <c r="N12" s="25"/>
    </row>
    <row r="13" spans="1:28" x14ac:dyDescent="0.25">
      <c r="A13" s="8">
        <v>11</v>
      </c>
      <c r="B13" s="2"/>
      <c r="C13" s="1" t="str">
        <f t="shared" si="2"/>
        <v>0º0'0''</v>
      </c>
      <c r="D13" s="2"/>
      <c r="E13" s="9"/>
      <c r="F13" s="1">
        <f t="shared" si="3"/>
        <v>0</v>
      </c>
      <c r="G13" s="1" t="str">
        <f t="shared" si="4"/>
        <v>0º0'0''</v>
      </c>
      <c r="H13" s="1" t="str">
        <f t="shared" si="5"/>
        <v>0</v>
      </c>
      <c r="I13" s="1" t="str">
        <f t="shared" si="1"/>
        <v>0º0'0''</v>
      </c>
      <c r="J13" s="16">
        <f t="shared" si="0"/>
        <v>0</v>
      </c>
      <c r="K13" s="3"/>
      <c r="L13" s="3"/>
      <c r="N13" s="25"/>
    </row>
    <row r="14" spans="1:28" x14ac:dyDescent="0.25">
      <c r="A14" s="8">
        <v>12</v>
      </c>
      <c r="B14" s="2"/>
      <c r="C14" s="1" t="str">
        <f t="shared" si="2"/>
        <v>0º0'0''</v>
      </c>
      <c r="D14" s="3"/>
      <c r="E14" s="9"/>
      <c r="F14" s="1">
        <f t="shared" si="3"/>
        <v>0</v>
      </c>
      <c r="G14" s="1" t="str">
        <f t="shared" si="4"/>
        <v>0º0'0''</v>
      </c>
      <c r="H14" s="1" t="str">
        <f t="shared" si="5"/>
        <v>0</v>
      </c>
      <c r="I14" s="1" t="str">
        <f t="shared" si="1"/>
        <v>0º0'0''</v>
      </c>
      <c r="J14" s="16">
        <f t="shared" si="0"/>
        <v>0</v>
      </c>
      <c r="K14" s="3"/>
      <c r="L14" s="3"/>
      <c r="N14" s="25"/>
    </row>
    <row r="15" spans="1:28" x14ac:dyDescent="0.25">
      <c r="A15" s="8">
        <v>13</v>
      </c>
      <c r="B15" s="3"/>
      <c r="C15" s="1" t="str">
        <f t="shared" si="2"/>
        <v>0º0'0''</v>
      </c>
      <c r="D15" s="3"/>
      <c r="E15" s="9"/>
      <c r="F15" s="1">
        <f t="shared" si="3"/>
        <v>0</v>
      </c>
      <c r="G15" s="1" t="str">
        <f t="shared" si="4"/>
        <v>0º0'0''</v>
      </c>
      <c r="H15" s="1" t="str">
        <f t="shared" si="5"/>
        <v>0</v>
      </c>
      <c r="I15" s="1" t="str">
        <f t="shared" si="1"/>
        <v>0º0'0''</v>
      </c>
      <c r="J15" s="16">
        <f t="shared" si="0"/>
        <v>0</v>
      </c>
      <c r="K15" s="3"/>
      <c r="L15" s="3"/>
      <c r="N15" s="25"/>
    </row>
    <row r="16" spans="1:28" x14ac:dyDescent="0.25">
      <c r="A16" s="1"/>
    </row>
    <row r="17" spans="1:18" x14ac:dyDescent="0.25">
      <c r="A17" s="17"/>
      <c r="C17" s="17"/>
      <c r="D17" s="17"/>
      <c r="F17" s="17"/>
      <c r="G17" s="17"/>
      <c r="I17" s="17"/>
      <c r="J17" s="17"/>
      <c r="L17" s="17"/>
      <c r="M17" s="17"/>
    </row>
    <row r="18" spans="1:18" x14ac:dyDescent="0.25">
      <c r="A18" s="17"/>
      <c r="D18" s="17"/>
      <c r="E18" s="28">
        <f>SUM(E3:E15)</f>
        <v>3051.7</v>
      </c>
      <c r="G18" s="17"/>
      <c r="J18" s="17"/>
      <c r="M18" s="17"/>
      <c r="P18" s="17"/>
    </row>
    <row r="19" spans="1:18" x14ac:dyDescent="0.25">
      <c r="E19" s="28"/>
      <c r="O19" s="37" t="s">
        <v>20</v>
      </c>
      <c r="P19" s="37"/>
      <c r="Q19" s="37"/>
      <c r="R19" s="37"/>
    </row>
    <row r="20" spans="1:18" x14ac:dyDescent="0.25">
      <c r="J20"/>
      <c r="O20" s="37"/>
      <c r="P20" s="37"/>
      <c r="Q20" s="37"/>
      <c r="R20" s="37"/>
    </row>
    <row r="21" spans="1:18" x14ac:dyDescent="0.25">
      <c r="O21" s="37"/>
      <c r="P21" s="37"/>
      <c r="Q21" s="37"/>
      <c r="R21" s="37"/>
    </row>
    <row r="22" spans="1:18" x14ac:dyDescent="0.25">
      <c r="O22" s="37"/>
      <c r="P22" s="37"/>
      <c r="Q22" s="37"/>
      <c r="R22" s="37"/>
    </row>
    <row r="23" spans="1:18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9"/>
      <c r="O23" s="37"/>
      <c r="P23" s="37"/>
      <c r="Q23" s="37"/>
      <c r="R23" s="37"/>
    </row>
    <row r="24" spans="1:18" x14ac:dyDescent="0.25">
      <c r="A24" s="20"/>
      <c r="B24" s="20"/>
      <c r="C24" s="20"/>
      <c r="D24" s="20"/>
      <c r="E24" s="20"/>
      <c r="F24" s="18"/>
      <c r="G24" s="18"/>
      <c r="H24" s="18"/>
      <c r="J24" s="19"/>
      <c r="O24" s="37"/>
      <c r="P24" s="37"/>
      <c r="Q24" s="37"/>
      <c r="R24" s="37"/>
    </row>
    <row r="25" spans="1:18" x14ac:dyDescent="0.25">
      <c r="A25" s="20"/>
      <c r="B25" s="20"/>
      <c r="C25" s="20"/>
      <c r="D25" s="20"/>
      <c r="E25" s="20"/>
      <c r="F25" s="18"/>
      <c r="G25" s="18"/>
      <c r="H25" s="18"/>
      <c r="I25" s="18"/>
      <c r="J25" s="19"/>
      <c r="O25" s="37"/>
      <c r="P25" s="37"/>
      <c r="Q25" s="37"/>
      <c r="R25" s="37"/>
    </row>
    <row r="26" spans="1:18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9"/>
      <c r="O26" s="37"/>
      <c r="P26" s="37"/>
      <c r="Q26" s="37"/>
      <c r="R26" s="37"/>
    </row>
    <row r="27" spans="1:18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9"/>
      <c r="O27" s="37"/>
      <c r="P27" s="37"/>
      <c r="Q27" s="37"/>
      <c r="R27" s="37"/>
    </row>
    <row r="28" spans="1:18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9"/>
      <c r="O28" s="37"/>
      <c r="P28" s="37"/>
      <c r="Q28" s="37"/>
      <c r="R28" s="37"/>
    </row>
    <row r="29" spans="1:18" x14ac:dyDescent="0.25">
      <c r="A29" s="18"/>
      <c r="B29" s="18"/>
      <c r="C29" s="18"/>
      <c r="D29" s="21"/>
      <c r="E29" s="18"/>
      <c r="F29" s="18"/>
      <c r="G29" s="18"/>
      <c r="H29" s="18"/>
      <c r="I29" s="18"/>
      <c r="J29" s="19"/>
      <c r="O29" s="37"/>
      <c r="P29" s="37"/>
      <c r="Q29" s="37"/>
      <c r="R29" s="37"/>
    </row>
    <row r="30" spans="1:18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9"/>
      <c r="O30" s="37"/>
      <c r="P30" s="37"/>
      <c r="Q30" s="37"/>
      <c r="R30" s="37"/>
    </row>
    <row r="31" spans="1:18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9"/>
    </row>
  </sheetData>
  <mergeCells count="6">
    <mergeCell ref="B1:C1"/>
    <mergeCell ref="O1:Q1"/>
    <mergeCell ref="H1:I1"/>
    <mergeCell ref="F1:G1"/>
    <mergeCell ref="O19:R30"/>
    <mergeCell ref="L1:M1"/>
  </mergeCells>
  <pageMargins left="0.7" right="0.7" top="0.75" bottom="0.75" header="0.3" footer="0.3"/>
  <pageSetup paperSize="9" orientation="portrait" horizontalDpi="300" verticalDpi="300" r:id="rId1"/>
  <ignoredErrors>
    <ignoredError sqref="H5 H6:H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lcular_estacas">
                <anchor moveWithCells="1" sizeWithCells="1">
                  <from>
                    <xdr:col>14</xdr:col>
                    <xdr:colOff>57150</xdr:colOff>
                    <xdr:row>7</xdr:row>
                    <xdr:rowOff>85725</xdr:rowOff>
                  </from>
                  <to>
                    <xdr:col>19</xdr:col>
                    <xdr:colOff>266700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_correcao">
              <controlPr defaultSize="0" autoFill="0" autoLine="0" autoPict="0" macro="[0]!check_raio">
                <anchor moveWithCells="1">
                  <from>
                    <xdr:col>14</xdr:col>
                    <xdr:colOff>152400</xdr:colOff>
                    <xdr:row>4</xdr:row>
                    <xdr:rowOff>123825</xdr:rowOff>
                  </from>
                  <to>
                    <xdr:col>14</xdr:col>
                    <xdr:colOff>1647825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concordancia">
                <anchor moveWithCells="1" sizeWithCells="1">
                  <from>
                    <xdr:col>14</xdr:col>
                    <xdr:colOff>66675</xdr:colOff>
                    <xdr:row>10</xdr:row>
                    <xdr:rowOff>171450</xdr:rowOff>
                  </from>
                  <to>
                    <xdr:col>19</xdr:col>
                    <xdr:colOff>276225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transicao">
                <anchor moveWithCells="1" sizeWithCells="1">
                  <from>
                    <xdr:col>14</xdr:col>
                    <xdr:colOff>104775</xdr:colOff>
                    <xdr:row>14</xdr:row>
                    <xdr:rowOff>190500</xdr:rowOff>
                  </from>
                  <to>
                    <xdr:col>19</xdr:col>
                    <xdr:colOff>266700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A432C-73D8-45B2-B2D4-B20FA80D23B2}">
  <sheetPr codeName="Planilha1"/>
  <dimension ref="A1:J4"/>
  <sheetViews>
    <sheetView workbookViewId="0">
      <selection activeCell="F22" sqref="F22"/>
    </sheetView>
  </sheetViews>
  <sheetFormatPr defaultRowHeight="15" x14ac:dyDescent="0.25"/>
  <cols>
    <col min="1" max="1" width="11" bestFit="1" customWidth="1"/>
    <col min="2" max="3" width="7.28515625" bestFit="1" customWidth="1"/>
    <col min="4" max="4" width="7.5703125" bestFit="1" customWidth="1"/>
    <col min="5" max="7" width="8.5703125" bestFit="1" customWidth="1"/>
    <col min="8" max="8" width="7.28515625" bestFit="1" customWidth="1"/>
    <col min="9" max="10" width="7.5703125" bestFit="1" customWidth="1"/>
  </cols>
  <sheetData>
    <row r="1" spans="1:10" x14ac:dyDescent="0.25">
      <c r="B1" s="34" t="s">
        <v>22</v>
      </c>
      <c r="C1" s="34" t="s">
        <v>17</v>
      </c>
      <c r="D1" s="34" t="s">
        <v>23</v>
      </c>
      <c r="E1" s="34" t="s">
        <v>24</v>
      </c>
      <c r="F1" s="34" t="s">
        <v>25</v>
      </c>
      <c r="G1" s="34" t="s">
        <v>26</v>
      </c>
      <c r="H1" s="34" t="s">
        <v>27</v>
      </c>
      <c r="I1" s="34" t="s">
        <v>28</v>
      </c>
      <c r="J1" s="34" t="s">
        <v>29</v>
      </c>
    </row>
    <row r="2" spans="1:10" x14ac:dyDescent="0.25">
      <c r="B2" s="29" t="s">
        <v>4</v>
      </c>
      <c r="C2" s="29" t="s">
        <v>4</v>
      </c>
      <c r="D2" s="29" t="s">
        <v>4</v>
      </c>
      <c r="E2" s="29" t="s">
        <v>4</v>
      </c>
      <c r="F2" s="29" t="s">
        <v>4</v>
      </c>
      <c r="G2" s="29" t="s">
        <v>4</v>
      </c>
      <c r="H2" s="29" t="s">
        <v>4</v>
      </c>
      <c r="I2" s="29" t="s">
        <v>4</v>
      </c>
      <c r="J2" s="29" t="s">
        <v>4</v>
      </c>
    </row>
    <row r="3" spans="1:10" x14ac:dyDescent="0.25">
      <c r="A3" s="22">
        <v>1</v>
      </c>
      <c r="B3" s="30">
        <v>465.44</v>
      </c>
      <c r="C3" s="30">
        <v>909.08</v>
      </c>
      <c r="D3" s="30" t="s">
        <v>92</v>
      </c>
      <c r="E3" s="30" t="s">
        <v>93</v>
      </c>
      <c r="F3" s="30" t="s">
        <v>143</v>
      </c>
      <c r="G3" s="30" t="s">
        <v>144</v>
      </c>
      <c r="H3" s="30">
        <v>769.08</v>
      </c>
      <c r="I3" s="30" t="s">
        <v>145</v>
      </c>
      <c r="J3" s="30" t="s">
        <v>146</v>
      </c>
    </row>
    <row r="4" spans="1:10" x14ac:dyDescent="0.25">
      <c r="A4" s="22" t="s">
        <v>21</v>
      </c>
      <c r="B4" s="30"/>
      <c r="C4" s="30"/>
      <c r="D4" s="30" t="s">
        <v>94</v>
      </c>
      <c r="E4" s="30"/>
      <c r="F4" s="30"/>
      <c r="G4" s="30"/>
      <c r="H4" s="30"/>
      <c r="I4" s="30"/>
      <c r="J4" s="3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80EAA-B114-41BF-8989-73BFF88DD87B}">
  <sheetPr codeName="Planilha2"/>
  <dimension ref="A1:Z182"/>
  <sheetViews>
    <sheetView tabSelected="1" workbookViewId="0">
      <selection activeCell="H11" sqref="H11"/>
    </sheetView>
  </sheetViews>
  <sheetFormatPr defaultRowHeight="15" x14ac:dyDescent="0.25"/>
  <cols>
    <col min="1" max="1" width="18.28515625" bestFit="1" customWidth="1"/>
    <col min="2" max="2" width="15.28515625" bestFit="1" customWidth="1"/>
    <col min="3" max="5" width="12" bestFit="1" customWidth="1"/>
    <col min="6" max="6" width="10" bestFit="1" customWidth="1"/>
    <col min="9" max="9" width="13.5703125" bestFit="1" customWidth="1"/>
    <col min="10" max="10" width="15.28515625" bestFit="1" customWidth="1"/>
    <col min="11" max="11" width="8" bestFit="1" customWidth="1"/>
    <col min="12" max="12" width="11.7109375" bestFit="1" customWidth="1"/>
    <col min="13" max="13" width="10.140625" bestFit="1" customWidth="1"/>
    <col min="14" max="14" width="12.28515625" bestFit="1" customWidth="1"/>
  </cols>
  <sheetData>
    <row r="1" spans="1:26" x14ac:dyDescent="0.25">
      <c r="A1" s="38" t="s">
        <v>30</v>
      </c>
      <c r="B1" s="38" t="s">
        <v>31</v>
      </c>
      <c r="C1" s="38" t="s">
        <v>32</v>
      </c>
      <c r="D1" s="38" t="s">
        <v>33</v>
      </c>
      <c r="E1" s="38"/>
      <c r="F1" s="38" t="s">
        <v>38</v>
      </c>
      <c r="G1" s="32"/>
      <c r="H1" s="32"/>
      <c r="I1" s="38" t="s">
        <v>30</v>
      </c>
      <c r="J1" s="38" t="s">
        <v>31</v>
      </c>
      <c r="K1" s="38" t="s">
        <v>38</v>
      </c>
      <c r="L1" s="38"/>
      <c r="M1" s="38" t="s">
        <v>12</v>
      </c>
      <c r="N1" s="35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x14ac:dyDescent="0.25">
      <c r="A2" s="38"/>
      <c r="B2" s="38"/>
      <c r="C2" s="38"/>
      <c r="D2" s="35" t="s">
        <v>34</v>
      </c>
      <c r="E2" s="35" t="s">
        <v>35</v>
      </c>
      <c r="F2" s="38"/>
      <c r="G2" s="32"/>
      <c r="H2" s="32"/>
      <c r="I2" s="38"/>
      <c r="J2" s="38"/>
      <c r="K2" s="35" t="s">
        <v>36</v>
      </c>
      <c r="L2" s="35" t="s">
        <v>37</v>
      </c>
      <c r="M2" s="38"/>
      <c r="N2" s="35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x14ac:dyDescent="0.25">
      <c r="A3" s="33" t="s">
        <v>147</v>
      </c>
      <c r="B3" s="33"/>
      <c r="C3" s="33"/>
      <c r="D3" s="33"/>
      <c r="E3" s="33"/>
      <c r="F3" s="33"/>
      <c r="G3" s="31"/>
      <c r="H3" s="31"/>
      <c r="I3" s="33" t="s">
        <v>147</v>
      </c>
      <c r="J3" s="33"/>
      <c r="K3" s="33"/>
      <c r="L3" s="33"/>
      <c r="M3" s="33" t="s">
        <v>39</v>
      </c>
      <c r="N3" s="33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x14ac:dyDescent="0.25">
      <c r="A4" s="33" t="s">
        <v>149</v>
      </c>
      <c r="B4" s="33">
        <v>10</v>
      </c>
      <c r="C4" s="33">
        <v>2.0777699892455062E-4</v>
      </c>
      <c r="D4" s="33">
        <v>6.9258999427945463E-4</v>
      </c>
      <c r="E4" s="33">
        <v>9.9999999568287183</v>
      </c>
      <c r="F4" s="33" t="s">
        <v>148</v>
      </c>
      <c r="G4" s="31"/>
      <c r="H4" s="31"/>
      <c r="I4" s="33" t="s">
        <v>149</v>
      </c>
      <c r="J4" s="33">
        <v>10</v>
      </c>
      <c r="K4" s="33"/>
      <c r="L4" s="33" t="s">
        <v>148</v>
      </c>
      <c r="M4" s="33"/>
      <c r="N4" s="33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x14ac:dyDescent="0.25">
      <c r="A5" s="33" t="s">
        <v>151</v>
      </c>
      <c r="B5" s="33">
        <v>20</v>
      </c>
      <c r="C5" s="33">
        <v>8.3110799569820247E-4</v>
      </c>
      <c r="D5" s="33">
        <v>5.540719697949963E-3</v>
      </c>
      <c r="E5" s="33">
        <v>19.999998618519044</v>
      </c>
      <c r="F5" s="33" t="s">
        <v>150</v>
      </c>
      <c r="G5" s="31"/>
      <c r="H5" s="31"/>
      <c r="I5" s="33" t="s">
        <v>151</v>
      </c>
      <c r="J5" s="33">
        <v>20</v>
      </c>
      <c r="K5" s="33"/>
      <c r="L5" s="33" t="s">
        <v>150</v>
      </c>
      <c r="M5" s="33"/>
      <c r="N5" s="33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 spans="1:26" x14ac:dyDescent="0.25">
      <c r="A6" s="33" t="s">
        <v>153</v>
      </c>
      <c r="B6" s="33">
        <v>30</v>
      </c>
      <c r="C6" s="33">
        <v>1.8699929903209555E-3</v>
      </c>
      <c r="D6" s="33">
        <v>1.8699925232404428E-2</v>
      </c>
      <c r="E6" s="33">
        <v>29.999989509380345</v>
      </c>
      <c r="F6" s="33" t="s">
        <v>152</v>
      </c>
      <c r="G6" s="31"/>
      <c r="H6" s="31"/>
      <c r="I6" s="33" t="s">
        <v>153</v>
      </c>
      <c r="J6" s="33">
        <v>30</v>
      </c>
      <c r="K6" s="33"/>
      <c r="L6" s="33" t="s">
        <v>152</v>
      </c>
      <c r="M6" s="33"/>
      <c r="N6" s="33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</row>
    <row r="7" spans="1:26" x14ac:dyDescent="0.25">
      <c r="A7" s="33" t="s">
        <v>155</v>
      </c>
      <c r="B7" s="33">
        <v>40</v>
      </c>
      <c r="C7" s="33">
        <v>3.3244319827928099E-3</v>
      </c>
      <c r="D7" s="33">
        <v>4.4325724779069479E-2</v>
      </c>
      <c r="E7" s="33">
        <v>39.999955792630587</v>
      </c>
      <c r="F7" s="33" t="s">
        <v>154</v>
      </c>
      <c r="G7" s="31"/>
      <c r="H7" s="31"/>
      <c r="I7" s="33" t="s">
        <v>155</v>
      </c>
      <c r="J7" s="33">
        <v>40</v>
      </c>
      <c r="K7" s="33"/>
      <c r="L7" s="33" t="s">
        <v>154</v>
      </c>
      <c r="M7" s="33"/>
      <c r="N7" s="33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 spans="1:26" x14ac:dyDescent="0.25">
      <c r="A8" s="33" t="s">
        <v>157</v>
      </c>
      <c r="B8" s="33">
        <v>50</v>
      </c>
      <c r="C8" s="33">
        <v>5.1944249731137654E-3</v>
      </c>
      <c r="D8" s="33">
        <v>8.6573582699681406E-2</v>
      </c>
      <c r="E8" s="33">
        <v>49.999865089914522</v>
      </c>
      <c r="F8" s="33" t="s">
        <v>156</v>
      </c>
      <c r="G8" s="31"/>
      <c r="H8" s="31"/>
      <c r="I8" s="33" t="s">
        <v>157</v>
      </c>
      <c r="J8" s="33">
        <v>50</v>
      </c>
      <c r="K8" s="33"/>
      <c r="L8" s="33" t="s">
        <v>156</v>
      </c>
      <c r="M8" s="33"/>
      <c r="N8" s="33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</row>
    <row r="9" spans="1:26" x14ac:dyDescent="0.25">
      <c r="A9" s="33" t="s">
        <v>159</v>
      </c>
      <c r="B9" s="33">
        <v>60</v>
      </c>
      <c r="C9" s="33">
        <v>7.4799719612838218E-3</v>
      </c>
      <c r="D9" s="33">
        <v>0.14959884136575621</v>
      </c>
      <c r="E9" s="33">
        <v>59.999664300986304</v>
      </c>
      <c r="F9" s="33" t="s">
        <v>158</v>
      </c>
      <c r="G9" s="31"/>
      <c r="H9" s="31"/>
      <c r="I9" s="33" t="s">
        <v>159</v>
      </c>
      <c r="J9" s="33">
        <v>60</v>
      </c>
      <c r="K9" s="33"/>
      <c r="L9" s="33" t="s">
        <v>158</v>
      </c>
      <c r="M9" s="33"/>
      <c r="N9" s="33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</row>
    <row r="10" spans="1:26" x14ac:dyDescent="0.25">
      <c r="A10" s="33" t="s">
        <v>161</v>
      </c>
      <c r="B10" s="33">
        <v>70</v>
      </c>
      <c r="C10" s="33">
        <v>1.018107294730298E-2</v>
      </c>
      <c r="D10" s="33">
        <v>0.23755660993622835</v>
      </c>
      <c r="E10" s="33">
        <v>69.999274423757413</v>
      </c>
      <c r="F10" s="33" t="s">
        <v>160</v>
      </c>
      <c r="G10" s="31"/>
      <c r="H10" s="31"/>
      <c r="I10" s="33" t="s">
        <v>161</v>
      </c>
      <c r="J10" s="33">
        <v>70</v>
      </c>
      <c r="K10" s="33"/>
      <c r="L10" s="33" t="s">
        <v>160</v>
      </c>
      <c r="M10" s="33"/>
      <c r="N10" s="33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</row>
    <row r="11" spans="1:26" x14ac:dyDescent="0.25">
      <c r="A11" s="33" t="s">
        <v>163</v>
      </c>
      <c r="B11" s="33">
        <v>80</v>
      </c>
      <c r="C11" s="33">
        <v>1.329772793117124E-2</v>
      </c>
      <c r="D11" s="33">
        <v>0.35460159932664842</v>
      </c>
      <c r="E11" s="33">
        <v>79.998585375035944</v>
      </c>
      <c r="F11" s="33" t="s">
        <v>162</v>
      </c>
      <c r="G11" s="31"/>
      <c r="H11" s="31"/>
      <c r="I11" s="33" t="s">
        <v>163</v>
      </c>
      <c r="J11" s="33">
        <v>80</v>
      </c>
      <c r="K11" s="33"/>
      <c r="L11" s="33" t="s">
        <v>162</v>
      </c>
      <c r="M11" s="33"/>
      <c r="N11" s="33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</row>
    <row r="12" spans="1:26" x14ac:dyDescent="0.25">
      <c r="A12" s="33" t="s">
        <v>165</v>
      </c>
      <c r="B12" s="33">
        <v>90</v>
      </c>
      <c r="C12" s="33">
        <v>1.6829936912888598E-2</v>
      </c>
      <c r="D12" s="33">
        <v>0.50488789262161216</v>
      </c>
      <c r="E12" s="33">
        <v>89.997450812440221</v>
      </c>
      <c r="F12" s="33" t="s">
        <v>164</v>
      </c>
      <c r="G12" s="31"/>
      <c r="H12" s="31"/>
      <c r="I12" s="33" t="s">
        <v>165</v>
      </c>
      <c r="J12" s="33">
        <v>90</v>
      </c>
      <c r="K12" s="33"/>
      <c r="L12" s="33" t="s">
        <v>164</v>
      </c>
      <c r="M12" s="33"/>
      <c r="N12" s="33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</row>
    <row r="13" spans="1:26" x14ac:dyDescent="0.25">
      <c r="A13" s="33" t="s">
        <v>167</v>
      </c>
      <c r="B13" s="33">
        <v>100</v>
      </c>
      <c r="C13" s="33">
        <v>2.0777699892455061E-2</v>
      </c>
      <c r="D13" s="33">
        <v>0.69256864019607789</v>
      </c>
      <c r="E13" s="33">
        <v>99.995682958156948</v>
      </c>
      <c r="F13" s="33" t="s">
        <v>166</v>
      </c>
      <c r="G13" s="31"/>
      <c r="H13" s="31"/>
      <c r="I13" s="33" t="s">
        <v>167</v>
      </c>
      <c r="J13" s="33">
        <v>100</v>
      </c>
      <c r="K13" s="33"/>
      <c r="L13" s="33" t="s">
        <v>166</v>
      </c>
      <c r="M13" s="33"/>
      <c r="N13" s="33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</row>
    <row r="14" spans="1:26" x14ac:dyDescent="0.25">
      <c r="A14" s="33" t="s">
        <v>169</v>
      </c>
      <c r="B14" s="33">
        <v>110</v>
      </c>
      <c r="C14" s="33">
        <v>2.5141016869870626E-2</v>
      </c>
      <c r="D14" s="33">
        <v>0.92179566883312603</v>
      </c>
      <c r="E14" s="33">
        <v>109.99304742543414</v>
      </c>
      <c r="F14" s="33" t="s">
        <v>168</v>
      </c>
      <c r="G14" s="31"/>
      <c r="H14" s="31"/>
      <c r="I14" s="33" t="s">
        <v>169</v>
      </c>
      <c r="J14" s="33">
        <v>110</v>
      </c>
      <c r="K14" s="33"/>
      <c r="L14" s="33" t="s">
        <v>168</v>
      </c>
      <c r="M14" s="33"/>
      <c r="N14" s="33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</row>
    <row r="15" spans="1:26" x14ac:dyDescent="0.25">
      <c r="A15" s="33" t="s">
        <v>171</v>
      </c>
      <c r="B15" s="33">
        <v>120</v>
      </c>
      <c r="C15" s="33">
        <v>2.9919887845135287E-2</v>
      </c>
      <c r="D15" s="33">
        <v>1.1967189941581073</v>
      </c>
      <c r="E15" s="33">
        <v>119.9892580489485</v>
      </c>
      <c r="F15" s="33" t="s">
        <v>170</v>
      </c>
      <c r="G15" s="31"/>
      <c r="H15" s="31"/>
      <c r="I15" s="33" t="s">
        <v>171</v>
      </c>
      <c r="J15" s="33">
        <v>120</v>
      </c>
      <c r="K15" s="33"/>
      <c r="L15" s="33" t="s">
        <v>170</v>
      </c>
      <c r="M15" s="33"/>
      <c r="N15" s="33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</row>
    <row r="16" spans="1:26" x14ac:dyDescent="0.25">
      <c r="A16" s="33" t="s">
        <v>173</v>
      </c>
      <c r="B16" s="33">
        <v>130</v>
      </c>
      <c r="C16" s="33">
        <v>3.5114312818249054E-2</v>
      </c>
      <c r="D16" s="33">
        <v>1.5214862257549397</v>
      </c>
      <c r="E16" s="33">
        <v>129.9839717204699</v>
      </c>
      <c r="F16" s="33" t="s">
        <v>172</v>
      </c>
      <c r="G16" s="31"/>
      <c r="H16" s="31"/>
      <c r="I16" s="33" t="s">
        <v>173</v>
      </c>
      <c r="J16" s="33">
        <v>130</v>
      </c>
      <c r="K16" s="33"/>
      <c r="L16" s="33" t="s">
        <v>172</v>
      </c>
      <c r="M16" s="33"/>
      <c r="N16" s="33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</row>
    <row r="17" spans="1:26" x14ac:dyDescent="0.25">
      <c r="A17" s="33" t="s">
        <v>175</v>
      </c>
      <c r="B17" s="33">
        <v>140</v>
      </c>
      <c r="C17" s="33">
        <v>4.0724291789211921E-2</v>
      </c>
      <c r="D17" s="33">
        <v>1.9002418543928865</v>
      </c>
      <c r="E17" s="33">
        <v>139.97678323155753</v>
      </c>
      <c r="F17" s="33" t="s">
        <v>174</v>
      </c>
      <c r="G17" s="31"/>
      <c r="H17" s="31"/>
      <c r="I17" s="33" t="s">
        <v>175</v>
      </c>
      <c r="J17" s="33">
        <v>140</v>
      </c>
      <c r="K17" s="33"/>
      <c r="L17" s="33" t="s">
        <v>174</v>
      </c>
      <c r="M17" s="33" t="s">
        <v>177</v>
      </c>
      <c r="N17" s="33" t="s">
        <v>176</v>
      </c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</row>
    <row r="18" spans="1:26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</row>
    <row r="19" spans="1:26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</row>
    <row r="20" spans="1:26" x14ac:dyDescent="0.25">
      <c r="A20" s="38" t="s">
        <v>40</v>
      </c>
      <c r="B20" s="38" t="s">
        <v>41</v>
      </c>
      <c r="C20" s="38" t="s">
        <v>38</v>
      </c>
      <c r="D20" s="38"/>
      <c r="E20" s="38" t="s">
        <v>12</v>
      </c>
      <c r="F20" s="31"/>
      <c r="G20" s="31"/>
      <c r="H20" s="31"/>
      <c r="I20" s="38" t="s">
        <v>30</v>
      </c>
      <c r="J20" s="38" t="s">
        <v>31</v>
      </c>
      <c r="K20" s="38" t="s">
        <v>38</v>
      </c>
      <c r="L20" s="38"/>
      <c r="M20" s="38" t="s">
        <v>12</v>
      </c>
      <c r="N20" s="33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</row>
    <row r="21" spans="1:26" x14ac:dyDescent="0.25">
      <c r="A21" s="38"/>
      <c r="B21" s="38"/>
      <c r="C21" s="35" t="s">
        <v>36</v>
      </c>
      <c r="D21" s="35" t="s">
        <v>37</v>
      </c>
      <c r="E21" s="38"/>
      <c r="F21" s="31"/>
      <c r="G21" s="31"/>
      <c r="H21" s="31"/>
      <c r="I21" s="38"/>
      <c r="J21" s="38"/>
      <c r="K21" s="35"/>
      <c r="L21" s="35" t="s">
        <v>37</v>
      </c>
      <c r="M21" s="38"/>
      <c r="N21" s="33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</row>
    <row r="22" spans="1:26" x14ac:dyDescent="0.25">
      <c r="A22" s="33" t="s">
        <v>175</v>
      </c>
      <c r="B22" s="33"/>
      <c r="C22" s="33"/>
      <c r="D22" s="33"/>
      <c r="E22" s="33" t="s">
        <v>177</v>
      </c>
      <c r="F22" s="31"/>
      <c r="G22" s="31"/>
      <c r="H22" s="31"/>
      <c r="I22" s="33" t="s">
        <v>195</v>
      </c>
      <c r="J22" s="33"/>
      <c r="K22" s="33"/>
      <c r="L22" s="33"/>
      <c r="M22" s="33" t="s">
        <v>197</v>
      </c>
      <c r="N22" s="33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</row>
    <row r="23" spans="1:26" x14ac:dyDescent="0.25">
      <c r="A23" s="33" t="s">
        <v>178</v>
      </c>
      <c r="B23" s="33">
        <v>10</v>
      </c>
      <c r="C23" s="33" t="s">
        <v>95</v>
      </c>
      <c r="D23" s="33" t="s">
        <v>95</v>
      </c>
      <c r="E23" s="33"/>
      <c r="F23" s="31"/>
      <c r="G23" s="31"/>
      <c r="H23" s="31"/>
      <c r="I23" s="33" t="s">
        <v>276</v>
      </c>
      <c r="J23" s="33">
        <v>10</v>
      </c>
      <c r="K23" s="33"/>
      <c r="L23" s="33" t="s">
        <v>277</v>
      </c>
      <c r="M23" s="33"/>
      <c r="N23" s="33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</row>
    <row r="24" spans="1:26" x14ac:dyDescent="0.25">
      <c r="A24" s="33" t="s">
        <v>179</v>
      </c>
      <c r="B24" s="33">
        <v>10</v>
      </c>
      <c r="C24" s="33" t="s">
        <v>95</v>
      </c>
      <c r="D24" s="33" t="s">
        <v>96</v>
      </c>
      <c r="E24" s="33"/>
      <c r="F24" s="31"/>
      <c r="G24" s="31"/>
      <c r="H24" s="31"/>
      <c r="I24" s="33" t="s">
        <v>278</v>
      </c>
      <c r="J24" s="33">
        <v>20</v>
      </c>
      <c r="K24" s="33"/>
      <c r="L24" s="33" t="s">
        <v>279</v>
      </c>
      <c r="M24" s="33"/>
      <c r="N24" s="33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</row>
    <row r="25" spans="1:26" x14ac:dyDescent="0.25">
      <c r="A25" s="33" t="s">
        <v>180</v>
      </c>
      <c r="B25" s="33">
        <v>10</v>
      </c>
      <c r="C25" s="33" t="s">
        <v>95</v>
      </c>
      <c r="D25" s="33" t="s">
        <v>97</v>
      </c>
      <c r="E25" s="33"/>
      <c r="F25" s="31"/>
      <c r="G25" s="31"/>
      <c r="H25" s="31"/>
      <c r="I25" s="33" t="s">
        <v>280</v>
      </c>
      <c r="J25" s="33">
        <v>30</v>
      </c>
      <c r="K25" s="33"/>
      <c r="L25" s="33" t="s">
        <v>281</v>
      </c>
      <c r="M25" s="33"/>
      <c r="N25" s="33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</row>
    <row r="26" spans="1:26" x14ac:dyDescent="0.25">
      <c r="A26" s="33" t="s">
        <v>181</v>
      </c>
      <c r="B26" s="33">
        <v>10</v>
      </c>
      <c r="C26" s="33" t="s">
        <v>95</v>
      </c>
      <c r="D26" s="33" t="s">
        <v>98</v>
      </c>
      <c r="E26" s="33"/>
      <c r="F26" s="31"/>
      <c r="G26" s="31"/>
      <c r="H26" s="31"/>
      <c r="I26" s="33" t="s">
        <v>282</v>
      </c>
      <c r="J26" s="33">
        <v>40</v>
      </c>
      <c r="K26" s="33"/>
      <c r="L26" s="33" t="s">
        <v>283</v>
      </c>
      <c r="M26" s="33"/>
      <c r="N26" s="33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</row>
    <row r="27" spans="1:26" x14ac:dyDescent="0.25">
      <c r="A27" s="33" t="s">
        <v>182</v>
      </c>
      <c r="B27" s="33">
        <v>10</v>
      </c>
      <c r="C27" s="33" t="s">
        <v>95</v>
      </c>
      <c r="D27" s="33" t="s">
        <v>99</v>
      </c>
      <c r="E27" s="33"/>
      <c r="F27" s="31"/>
      <c r="G27" s="31"/>
      <c r="H27" s="31"/>
      <c r="I27" s="33" t="s">
        <v>284</v>
      </c>
      <c r="J27" s="33">
        <v>50</v>
      </c>
      <c r="K27" s="33"/>
      <c r="L27" s="33" t="s">
        <v>285</v>
      </c>
      <c r="M27" s="33"/>
      <c r="N27" s="33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</row>
    <row r="28" spans="1:26" x14ac:dyDescent="0.25">
      <c r="A28" s="33" t="s">
        <v>183</v>
      </c>
      <c r="B28" s="33">
        <v>10</v>
      </c>
      <c r="C28" s="33" t="s">
        <v>95</v>
      </c>
      <c r="D28" s="33" t="s">
        <v>100</v>
      </c>
      <c r="E28" s="33"/>
      <c r="F28" s="31"/>
      <c r="G28" s="31"/>
      <c r="H28" s="31"/>
      <c r="I28" s="33" t="s">
        <v>286</v>
      </c>
      <c r="J28" s="33">
        <v>60</v>
      </c>
      <c r="K28" s="33"/>
      <c r="L28" s="33" t="s">
        <v>287</v>
      </c>
      <c r="M28" s="33"/>
      <c r="N28" s="33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</row>
    <row r="29" spans="1:26" x14ac:dyDescent="0.25">
      <c r="A29" s="33" t="s">
        <v>184</v>
      </c>
      <c r="B29" s="33">
        <v>10</v>
      </c>
      <c r="C29" s="33" t="s">
        <v>95</v>
      </c>
      <c r="D29" s="33" t="s">
        <v>101</v>
      </c>
      <c r="E29" s="33"/>
      <c r="F29" s="31"/>
      <c r="G29" s="31"/>
      <c r="H29" s="31"/>
      <c r="I29" s="33" t="s">
        <v>288</v>
      </c>
      <c r="J29" s="33">
        <v>70</v>
      </c>
      <c r="K29" s="33"/>
      <c r="L29" s="33" t="s">
        <v>289</v>
      </c>
      <c r="M29" s="33"/>
      <c r="N29" s="33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</row>
    <row r="30" spans="1:26" x14ac:dyDescent="0.25">
      <c r="A30" s="33" t="s">
        <v>185</v>
      </c>
      <c r="B30" s="33">
        <v>10</v>
      </c>
      <c r="C30" s="33" t="s">
        <v>95</v>
      </c>
      <c r="D30" s="33" t="s">
        <v>102</v>
      </c>
      <c r="E30" s="33"/>
      <c r="F30" s="31"/>
      <c r="G30" s="31"/>
      <c r="H30" s="31"/>
      <c r="I30" s="33" t="s">
        <v>290</v>
      </c>
      <c r="J30" s="33">
        <v>80</v>
      </c>
      <c r="K30" s="33"/>
      <c r="L30" s="33" t="s">
        <v>291</v>
      </c>
      <c r="M30" s="33"/>
      <c r="N30" s="33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</row>
    <row r="31" spans="1:26" x14ac:dyDescent="0.25">
      <c r="A31" s="33" t="s">
        <v>186</v>
      </c>
      <c r="B31" s="33">
        <v>10</v>
      </c>
      <c r="C31" s="33" t="s">
        <v>95</v>
      </c>
      <c r="D31" s="33" t="s">
        <v>103</v>
      </c>
      <c r="E31" s="33"/>
      <c r="F31" s="31"/>
      <c r="G31" s="31"/>
      <c r="H31" s="31"/>
      <c r="I31" s="33" t="s">
        <v>292</v>
      </c>
      <c r="J31" s="33">
        <v>90</v>
      </c>
      <c r="K31" s="33"/>
      <c r="L31" s="33" t="s">
        <v>293</v>
      </c>
      <c r="M31" s="33"/>
      <c r="N31" s="33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</row>
    <row r="32" spans="1:26" x14ac:dyDescent="0.25">
      <c r="A32" s="33" t="s">
        <v>187</v>
      </c>
      <c r="B32" s="33">
        <v>10</v>
      </c>
      <c r="C32" s="33" t="s">
        <v>95</v>
      </c>
      <c r="D32" s="33" t="s">
        <v>104</v>
      </c>
      <c r="E32" s="33"/>
      <c r="F32" s="31"/>
      <c r="G32" s="31"/>
      <c r="H32" s="31"/>
      <c r="I32" s="33" t="s">
        <v>294</v>
      </c>
      <c r="J32" s="33">
        <v>100</v>
      </c>
      <c r="K32" s="33"/>
      <c r="L32" s="33" t="s">
        <v>295</v>
      </c>
      <c r="M32" s="33"/>
      <c r="N32" s="33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spans="1:26" x14ac:dyDescent="0.25">
      <c r="A33" s="33" t="s">
        <v>188</v>
      </c>
      <c r="B33" s="33">
        <v>10</v>
      </c>
      <c r="C33" s="33" t="s">
        <v>95</v>
      </c>
      <c r="D33" s="33" t="s">
        <v>105</v>
      </c>
      <c r="E33" s="33"/>
      <c r="F33" s="31"/>
      <c r="G33" s="31"/>
      <c r="H33" s="31"/>
      <c r="I33" s="33" t="s">
        <v>296</v>
      </c>
      <c r="J33" s="33">
        <v>110</v>
      </c>
      <c r="K33" s="33"/>
      <c r="L33" s="33" t="s">
        <v>297</v>
      </c>
      <c r="M33" s="33"/>
      <c r="N33" s="33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spans="1:26" x14ac:dyDescent="0.25">
      <c r="A34" s="33" t="s">
        <v>189</v>
      </c>
      <c r="B34" s="33">
        <v>10</v>
      </c>
      <c r="C34" s="33" t="s">
        <v>95</v>
      </c>
      <c r="D34" s="33" t="s">
        <v>106</v>
      </c>
      <c r="E34" s="33"/>
      <c r="F34" s="31"/>
      <c r="G34" s="31"/>
      <c r="H34" s="31"/>
      <c r="I34" s="33" t="s">
        <v>298</v>
      </c>
      <c r="J34" s="33">
        <v>120</v>
      </c>
      <c r="K34" s="33"/>
      <c r="L34" s="33" t="s">
        <v>299</v>
      </c>
      <c r="M34" s="33"/>
      <c r="N34" s="33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spans="1:26" x14ac:dyDescent="0.25">
      <c r="A35" s="33" t="s">
        <v>306</v>
      </c>
      <c r="B35" s="33">
        <v>10</v>
      </c>
      <c r="C35" s="33" t="s">
        <v>95</v>
      </c>
      <c r="D35" s="33" t="s">
        <v>305</v>
      </c>
      <c r="E35" s="33"/>
      <c r="F35" s="31"/>
      <c r="G35" s="31"/>
      <c r="H35" s="31"/>
      <c r="I35" s="33" t="s">
        <v>300</v>
      </c>
      <c r="J35" s="33">
        <v>130</v>
      </c>
      <c r="K35" s="33"/>
      <c r="L35" s="33" t="s">
        <v>301</v>
      </c>
      <c r="M35" s="33"/>
      <c r="N35" s="33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spans="1:26" x14ac:dyDescent="0.25">
      <c r="A36" s="33" t="s">
        <v>308</v>
      </c>
      <c r="B36" s="33">
        <v>10</v>
      </c>
      <c r="C36" s="33" t="s">
        <v>95</v>
      </c>
      <c r="D36" s="33" t="s">
        <v>307</v>
      </c>
      <c r="E36" s="33"/>
      <c r="F36" s="31"/>
      <c r="G36" s="31"/>
      <c r="H36" s="31"/>
      <c r="I36" s="33" t="s">
        <v>304</v>
      </c>
      <c r="J36" s="33">
        <v>140</v>
      </c>
      <c r="K36" s="33"/>
      <c r="L36" s="33" t="s">
        <v>302</v>
      </c>
      <c r="M36" s="33" t="s">
        <v>141</v>
      </c>
      <c r="N36" s="33" t="s">
        <v>303</v>
      </c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spans="1:26" x14ac:dyDescent="0.25">
      <c r="A37" s="33" t="s">
        <v>310</v>
      </c>
      <c r="B37" s="33">
        <v>10</v>
      </c>
      <c r="C37" s="33" t="s">
        <v>95</v>
      </c>
      <c r="D37" s="33" t="s">
        <v>309</v>
      </c>
      <c r="E37" s="33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spans="1:26" x14ac:dyDescent="0.25">
      <c r="A38" s="33" t="s">
        <v>312</v>
      </c>
      <c r="B38" s="33">
        <v>10</v>
      </c>
      <c r="C38" s="33" t="s">
        <v>95</v>
      </c>
      <c r="D38" s="33" t="s">
        <v>311</v>
      </c>
      <c r="E38" s="33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spans="1:26" x14ac:dyDescent="0.25">
      <c r="A39" s="33" t="s">
        <v>314</v>
      </c>
      <c r="B39" s="33">
        <v>10</v>
      </c>
      <c r="C39" s="33" t="s">
        <v>95</v>
      </c>
      <c r="D39" s="33" t="s">
        <v>313</v>
      </c>
      <c r="E39" s="33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spans="1:26" x14ac:dyDescent="0.25">
      <c r="A40" s="33" t="s">
        <v>316</v>
      </c>
      <c r="B40" s="33">
        <v>10</v>
      </c>
      <c r="C40" s="33" t="s">
        <v>95</v>
      </c>
      <c r="D40" s="33" t="s">
        <v>315</v>
      </c>
      <c r="E40" s="33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spans="1:26" x14ac:dyDescent="0.25">
      <c r="A41" s="33" t="s">
        <v>318</v>
      </c>
      <c r="B41" s="33">
        <v>10</v>
      </c>
      <c r="C41" s="33" t="s">
        <v>95</v>
      </c>
      <c r="D41" s="33" t="s">
        <v>317</v>
      </c>
      <c r="E41" s="33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spans="1:26" x14ac:dyDescent="0.25">
      <c r="A42" s="33" t="s">
        <v>320</v>
      </c>
      <c r="B42" s="33">
        <v>10</v>
      </c>
      <c r="C42" s="33" t="s">
        <v>95</v>
      </c>
      <c r="D42" s="33" t="s">
        <v>319</v>
      </c>
      <c r="E42" s="33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x14ac:dyDescent="0.25">
      <c r="A43" s="33" t="s">
        <v>322</v>
      </c>
      <c r="B43" s="33">
        <v>10</v>
      </c>
      <c r="C43" s="33" t="s">
        <v>95</v>
      </c>
      <c r="D43" s="33" t="s">
        <v>321</v>
      </c>
      <c r="E43" s="33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spans="1:26" x14ac:dyDescent="0.25">
      <c r="A44" s="33" t="s">
        <v>324</v>
      </c>
      <c r="B44" s="33">
        <v>10</v>
      </c>
      <c r="C44" s="33" t="s">
        <v>95</v>
      </c>
      <c r="D44" s="33" t="s">
        <v>323</v>
      </c>
      <c r="E44" s="33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spans="1:26" x14ac:dyDescent="0.25">
      <c r="A45" s="33" t="s">
        <v>326</v>
      </c>
      <c r="B45" s="33">
        <v>10</v>
      </c>
      <c r="C45" s="33" t="s">
        <v>95</v>
      </c>
      <c r="D45" s="33" t="s">
        <v>325</v>
      </c>
      <c r="E45" s="33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spans="1:26" x14ac:dyDescent="0.25">
      <c r="A46" s="33" t="s">
        <v>328</v>
      </c>
      <c r="B46" s="33">
        <v>10</v>
      </c>
      <c r="C46" s="33" t="s">
        <v>95</v>
      </c>
      <c r="D46" s="33" t="s">
        <v>327</v>
      </c>
      <c r="E46" s="33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spans="1:26" x14ac:dyDescent="0.25">
      <c r="A47" s="33" t="s">
        <v>330</v>
      </c>
      <c r="B47" s="33">
        <v>10</v>
      </c>
      <c r="C47" s="33" t="s">
        <v>95</v>
      </c>
      <c r="D47" s="33" t="s">
        <v>329</v>
      </c>
      <c r="E47" s="33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spans="1:26" x14ac:dyDescent="0.25">
      <c r="A48" s="33" t="s">
        <v>332</v>
      </c>
      <c r="B48" s="33">
        <v>10</v>
      </c>
      <c r="C48" s="33" t="s">
        <v>95</v>
      </c>
      <c r="D48" s="33" t="s">
        <v>331</v>
      </c>
      <c r="E48" s="33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spans="1:26" x14ac:dyDescent="0.25">
      <c r="A49" s="33" t="s">
        <v>334</v>
      </c>
      <c r="B49" s="33">
        <v>10</v>
      </c>
      <c r="C49" s="33" t="s">
        <v>95</v>
      </c>
      <c r="D49" s="33" t="s">
        <v>333</v>
      </c>
      <c r="E49" s="33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spans="1:26" x14ac:dyDescent="0.25">
      <c r="A50" s="33" t="s">
        <v>336</v>
      </c>
      <c r="B50" s="33">
        <v>10</v>
      </c>
      <c r="C50" s="33" t="s">
        <v>95</v>
      </c>
      <c r="D50" s="33" t="s">
        <v>335</v>
      </c>
      <c r="E50" s="33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spans="1:26" x14ac:dyDescent="0.25">
      <c r="A51" s="33" t="s">
        <v>338</v>
      </c>
      <c r="B51" s="33">
        <v>10</v>
      </c>
      <c r="C51" s="33" t="s">
        <v>95</v>
      </c>
      <c r="D51" s="33" t="s">
        <v>337</v>
      </c>
      <c r="E51" s="33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spans="1:26" x14ac:dyDescent="0.25">
      <c r="A52" s="33" t="s">
        <v>340</v>
      </c>
      <c r="B52" s="33">
        <v>10</v>
      </c>
      <c r="C52" s="33" t="s">
        <v>95</v>
      </c>
      <c r="D52" s="33" t="s">
        <v>339</v>
      </c>
      <c r="E52" s="33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x14ac:dyDescent="0.25">
      <c r="A53" s="33" t="s">
        <v>342</v>
      </c>
      <c r="B53" s="33">
        <v>10</v>
      </c>
      <c r="C53" s="33" t="s">
        <v>95</v>
      </c>
      <c r="D53" s="33" t="s">
        <v>341</v>
      </c>
      <c r="E53" s="33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x14ac:dyDescent="0.25">
      <c r="A54" s="33" t="s">
        <v>344</v>
      </c>
      <c r="B54" s="33">
        <v>10</v>
      </c>
      <c r="C54" s="33" t="s">
        <v>95</v>
      </c>
      <c r="D54" s="33" t="s">
        <v>343</v>
      </c>
      <c r="E54" s="33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x14ac:dyDescent="0.25">
      <c r="A55" s="33" t="s">
        <v>346</v>
      </c>
      <c r="B55" s="33">
        <v>10</v>
      </c>
      <c r="C55" s="33" t="s">
        <v>95</v>
      </c>
      <c r="D55" s="33" t="s">
        <v>345</v>
      </c>
      <c r="E55" s="33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x14ac:dyDescent="0.25">
      <c r="A56" s="33" t="s">
        <v>348</v>
      </c>
      <c r="B56" s="33">
        <v>10</v>
      </c>
      <c r="C56" s="33" t="s">
        <v>95</v>
      </c>
      <c r="D56" s="33" t="s">
        <v>347</v>
      </c>
      <c r="E56" s="33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x14ac:dyDescent="0.25">
      <c r="A57" s="33" t="s">
        <v>350</v>
      </c>
      <c r="B57" s="33">
        <v>10</v>
      </c>
      <c r="C57" s="33" t="s">
        <v>95</v>
      </c>
      <c r="D57" s="33" t="s">
        <v>349</v>
      </c>
      <c r="E57" s="33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x14ac:dyDescent="0.25">
      <c r="A58" s="33" t="s">
        <v>352</v>
      </c>
      <c r="B58" s="33">
        <v>10</v>
      </c>
      <c r="C58" s="33" t="s">
        <v>95</v>
      </c>
      <c r="D58" s="33" t="s">
        <v>351</v>
      </c>
      <c r="E58" s="33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x14ac:dyDescent="0.25">
      <c r="A59" s="33" t="s">
        <v>354</v>
      </c>
      <c r="B59" s="33">
        <v>10</v>
      </c>
      <c r="C59" s="33" t="s">
        <v>95</v>
      </c>
      <c r="D59" s="33" t="s">
        <v>353</v>
      </c>
      <c r="E59" s="33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x14ac:dyDescent="0.25">
      <c r="A60" s="33" t="s">
        <v>356</v>
      </c>
      <c r="B60" s="33">
        <v>10</v>
      </c>
      <c r="C60" s="33" t="s">
        <v>95</v>
      </c>
      <c r="D60" s="33" t="s">
        <v>355</v>
      </c>
      <c r="E60" s="33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1:26" x14ac:dyDescent="0.25">
      <c r="A61" s="33" t="s">
        <v>358</v>
      </c>
      <c r="B61" s="33">
        <v>10</v>
      </c>
      <c r="C61" s="33" t="s">
        <v>95</v>
      </c>
      <c r="D61" s="33" t="s">
        <v>357</v>
      </c>
      <c r="E61" s="33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spans="1:26" x14ac:dyDescent="0.25">
      <c r="A62" s="33" t="s">
        <v>360</v>
      </c>
      <c r="B62" s="33">
        <v>10</v>
      </c>
      <c r="C62" s="33" t="s">
        <v>95</v>
      </c>
      <c r="D62" s="33" t="s">
        <v>359</v>
      </c>
      <c r="E62" s="33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spans="1:26" x14ac:dyDescent="0.25">
      <c r="A63" s="33" t="s">
        <v>362</v>
      </c>
      <c r="B63" s="33">
        <v>10</v>
      </c>
      <c r="C63" s="33" t="s">
        <v>95</v>
      </c>
      <c r="D63" s="33" t="s">
        <v>361</v>
      </c>
      <c r="E63" s="33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spans="1:26" x14ac:dyDescent="0.25">
      <c r="A64" s="33" t="s">
        <v>364</v>
      </c>
      <c r="B64" s="33">
        <v>10</v>
      </c>
      <c r="C64" s="33" t="s">
        <v>95</v>
      </c>
      <c r="D64" s="33" t="s">
        <v>363</v>
      </c>
      <c r="E64" s="33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spans="1:26" x14ac:dyDescent="0.25">
      <c r="A65" s="33" t="s">
        <v>366</v>
      </c>
      <c r="B65" s="33">
        <v>10</v>
      </c>
      <c r="C65" s="33" t="s">
        <v>95</v>
      </c>
      <c r="D65" s="33" t="s">
        <v>365</v>
      </c>
      <c r="E65" s="33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spans="1:26" x14ac:dyDescent="0.25">
      <c r="A66" s="33" t="s">
        <v>368</v>
      </c>
      <c r="B66" s="33">
        <v>10</v>
      </c>
      <c r="C66" s="33" t="s">
        <v>95</v>
      </c>
      <c r="D66" s="33" t="s">
        <v>367</v>
      </c>
      <c r="E66" s="33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spans="1:26" x14ac:dyDescent="0.25">
      <c r="A67" s="33" t="s">
        <v>370</v>
      </c>
      <c r="B67" s="33">
        <v>10</v>
      </c>
      <c r="C67" s="33" t="s">
        <v>95</v>
      </c>
      <c r="D67" s="33" t="s">
        <v>369</v>
      </c>
      <c r="E67" s="33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spans="1:26" x14ac:dyDescent="0.25">
      <c r="A68" s="33" t="s">
        <v>372</v>
      </c>
      <c r="B68" s="33">
        <v>10</v>
      </c>
      <c r="C68" s="33" t="s">
        <v>95</v>
      </c>
      <c r="D68" s="33" t="s">
        <v>371</v>
      </c>
      <c r="E68" s="33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spans="1:26" x14ac:dyDescent="0.25">
      <c r="A69" s="33" t="s">
        <v>374</v>
      </c>
      <c r="B69" s="33">
        <v>10</v>
      </c>
      <c r="C69" s="33" t="s">
        <v>95</v>
      </c>
      <c r="D69" s="33" t="s">
        <v>373</v>
      </c>
      <c r="E69" s="33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spans="1:26" x14ac:dyDescent="0.25">
      <c r="A70" s="33" t="s">
        <v>376</v>
      </c>
      <c r="B70" s="33">
        <v>10</v>
      </c>
      <c r="C70" s="33" t="s">
        <v>95</v>
      </c>
      <c r="D70" s="33" t="s">
        <v>375</v>
      </c>
      <c r="E70" s="33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spans="1:26" x14ac:dyDescent="0.25">
      <c r="A71" s="33" t="s">
        <v>378</v>
      </c>
      <c r="B71" s="33">
        <v>10</v>
      </c>
      <c r="C71" s="33" t="s">
        <v>95</v>
      </c>
      <c r="D71" s="33" t="s">
        <v>377</v>
      </c>
      <c r="E71" s="33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spans="1:26" x14ac:dyDescent="0.25">
      <c r="A72" s="33" t="s">
        <v>380</v>
      </c>
      <c r="B72" s="33">
        <v>10</v>
      </c>
      <c r="C72" s="33" t="s">
        <v>95</v>
      </c>
      <c r="D72" s="33" t="s">
        <v>379</v>
      </c>
      <c r="E72" s="33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spans="1:26" x14ac:dyDescent="0.25">
      <c r="A73" s="33" t="s">
        <v>382</v>
      </c>
      <c r="B73" s="33">
        <v>10</v>
      </c>
      <c r="C73" s="33" t="s">
        <v>95</v>
      </c>
      <c r="D73" s="33" t="s">
        <v>381</v>
      </c>
      <c r="E73" s="33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spans="1:26" x14ac:dyDescent="0.25">
      <c r="A74" s="33" t="s">
        <v>384</v>
      </c>
      <c r="B74" s="33">
        <v>10</v>
      </c>
      <c r="C74" s="33" t="s">
        <v>95</v>
      </c>
      <c r="D74" s="33" t="s">
        <v>383</v>
      </c>
      <c r="E74" s="33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spans="1:26" x14ac:dyDescent="0.25">
      <c r="A75" s="30" t="s">
        <v>386</v>
      </c>
      <c r="B75" s="30">
        <v>10</v>
      </c>
      <c r="C75" s="30" t="s">
        <v>95</v>
      </c>
      <c r="D75" s="30" t="s">
        <v>385</v>
      </c>
      <c r="E75" s="30"/>
    </row>
    <row r="76" spans="1:26" x14ac:dyDescent="0.25">
      <c r="A76" s="30" t="s">
        <v>388</v>
      </c>
      <c r="B76" s="30">
        <v>10</v>
      </c>
      <c r="C76" s="30" t="s">
        <v>95</v>
      </c>
      <c r="D76" s="30" t="s">
        <v>387</v>
      </c>
      <c r="E76" s="30"/>
    </row>
    <row r="77" spans="1:26" x14ac:dyDescent="0.25">
      <c r="A77" s="30" t="s">
        <v>390</v>
      </c>
      <c r="B77" s="30">
        <v>10</v>
      </c>
      <c r="C77" s="30" t="s">
        <v>95</v>
      </c>
      <c r="D77" s="30" t="s">
        <v>389</v>
      </c>
      <c r="E77" s="30"/>
    </row>
    <row r="78" spans="1:26" x14ac:dyDescent="0.25">
      <c r="A78" s="30" t="s">
        <v>392</v>
      </c>
      <c r="B78" s="30">
        <v>10</v>
      </c>
      <c r="C78" s="30" t="s">
        <v>95</v>
      </c>
      <c r="D78" s="30" t="s">
        <v>391</v>
      </c>
      <c r="E78" s="30"/>
    </row>
    <row r="79" spans="1:26" x14ac:dyDescent="0.25">
      <c r="A79" s="30" t="s">
        <v>394</v>
      </c>
      <c r="B79" s="30">
        <v>10</v>
      </c>
      <c r="C79" s="30" t="s">
        <v>95</v>
      </c>
      <c r="D79" s="30" t="s">
        <v>393</v>
      </c>
      <c r="E79" s="30"/>
    </row>
    <row r="80" spans="1:26" x14ac:dyDescent="0.25">
      <c r="A80" s="30" t="s">
        <v>396</v>
      </c>
      <c r="B80" s="30">
        <v>10</v>
      </c>
      <c r="C80" s="30" t="s">
        <v>95</v>
      </c>
      <c r="D80" s="30" t="s">
        <v>395</v>
      </c>
      <c r="E80" s="30"/>
    </row>
    <row r="81" spans="1:5" x14ac:dyDescent="0.25">
      <c r="A81" s="30" t="s">
        <v>398</v>
      </c>
      <c r="B81" s="30">
        <v>10</v>
      </c>
      <c r="C81" s="30" t="s">
        <v>95</v>
      </c>
      <c r="D81" s="30" t="s">
        <v>397</v>
      </c>
      <c r="E81" s="30"/>
    </row>
    <row r="82" spans="1:5" x14ac:dyDescent="0.25">
      <c r="A82" s="30" t="s">
        <v>400</v>
      </c>
      <c r="B82" s="30">
        <v>10</v>
      </c>
      <c r="C82" s="30" t="s">
        <v>95</v>
      </c>
      <c r="D82" s="30" t="s">
        <v>399</v>
      </c>
      <c r="E82" s="30"/>
    </row>
    <row r="83" spans="1:5" x14ac:dyDescent="0.25">
      <c r="A83" s="30" t="s">
        <v>402</v>
      </c>
      <c r="B83" s="30">
        <v>10</v>
      </c>
      <c r="C83" s="30" t="s">
        <v>95</v>
      </c>
      <c r="D83" s="30" t="s">
        <v>401</v>
      </c>
      <c r="E83" s="30"/>
    </row>
    <row r="84" spans="1:5" x14ac:dyDescent="0.25">
      <c r="A84" s="30" t="s">
        <v>404</v>
      </c>
      <c r="B84" s="30">
        <v>10</v>
      </c>
      <c r="C84" s="30" t="s">
        <v>95</v>
      </c>
      <c r="D84" s="30" t="s">
        <v>403</v>
      </c>
      <c r="E84" s="30"/>
    </row>
    <row r="85" spans="1:5" x14ac:dyDescent="0.25">
      <c r="A85" s="30" t="s">
        <v>406</v>
      </c>
      <c r="B85" s="30">
        <v>10</v>
      </c>
      <c r="C85" s="30" t="s">
        <v>95</v>
      </c>
      <c r="D85" s="30" t="s">
        <v>405</v>
      </c>
      <c r="E85" s="30"/>
    </row>
    <row r="86" spans="1:5" x14ac:dyDescent="0.25">
      <c r="A86" s="30" t="s">
        <v>408</v>
      </c>
      <c r="B86" s="30">
        <v>10</v>
      </c>
      <c r="C86" s="30" t="s">
        <v>95</v>
      </c>
      <c r="D86" s="30" t="s">
        <v>407</v>
      </c>
      <c r="E86" s="30"/>
    </row>
    <row r="87" spans="1:5" x14ac:dyDescent="0.25">
      <c r="A87" s="30" t="s">
        <v>410</v>
      </c>
      <c r="B87" s="30">
        <v>10</v>
      </c>
      <c r="C87" s="30" t="s">
        <v>95</v>
      </c>
      <c r="D87" s="30" t="s">
        <v>409</v>
      </c>
      <c r="E87" s="30"/>
    </row>
    <row r="88" spans="1:5" x14ac:dyDescent="0.25">
      <c r="A88" s="30" t="s">
        <v>412</v>
      </c>
      <c r="B88" s="30">
        <v>10</v>
      </c>
      <c r="C88" s="30" t="s">
        <v>95</v>
      </c>
      <c r="D88" s="30" t="s">
        <v>411</v>
      </c>
      <c r="E88" s="30"/>
    </row>
    <row r="89" spans="1:5" x14ac:dyDescent="0.25">
      <c r="A89" s="30" t="s">
        <v>414</v>
      </c>
      <c r="B89" s="30">
        <v>10</v>
      </c>
      <c r="C89" s="30" t="s">
        <v>95</v>
      </c>
      <c r="D89" s="30" t="s">
        <v>413</v>
      </c>
      <c r="E89" s="30"/>
    </row>
    <row r="90" spans="1:5" x14ac:dyDescent="0.25">
      <c r="A90" s="30" t="s">
        <v>416</v>
      </c>
      <c r="B90" s="30">
        <v>10</v>
      </c>
      <c r="C90" s="30" t="s">
        <v>95</v>
      </c>
      <c r="D90" s="30" t="s">
        <v>415</v>
      </c>
      <c r="E90" s="30"/>
    </row>
    <row r="91" spans="1:5" x14ac:dyDescent="0.25">
      <c r="A91" s="30" t="s">
        <v>418</v>
      </c>
      <c r="B91" s="30">
        <v>10</v>
      </c>
      <c r="C91" s="30" t="s">
        <v>95</v>
      </c>
      <c r="D91" s="30" t="s">
        <v>417</v>
      </c>
      <c r="E91" s="30"/>
    </row>
    <row r="92" spans="1:5" x14ac:dyDescent="0.25">
      <c r="A92" s="30" t="s">
        <v>420</v>
      </c>
      <c r="B92" s="30">
        <v>10</v>
      </c>
      <c r="C92" s="30" t="s">
        <v>95</v>
      </c>
      <c r="D92" s="30" t="s">
        <v>419</v>
      </c>
      <c r="E92" s="30"/>
    </row>
    <row r="93" spans="1:5" x14ac:dyDescent="0.25">
      <c r="A93" s="30" t="s">
        <v>422</v>
      </c>
      <c r="B93" s="30">
        <v>10</v>
      </c>
      <c r="C93" s="30" t="s">
        <v>95</v>
      </c>
      <c r="D93" s="30" t="s">
        <v>421</v>
      </c>
      <c r="E93" s="30"/>
    </row>
    <row r="94" spans="1:5" x14ac:dyDescent="0.25">
      <c r="A94" s="30" t="s">
        <v>190</v>
      </c>
      <c r="B94" s="30">
        <v>10</v>
      </c>
      <c r="C94" s="30" t="s">
        <v>95</v>
      </c>
      <c r="D94" s="30" t="s">
        <v>107</v>
      </c>
      <c r="E94" s="30"/>
    </row>
    <row r="95" spans="1:5" x14ac:dyDescent="0.25">
      <c r="A95" s="30" t="s">
        <v>191</v>
      </c>
      <c r="B95" s="30">
        <v>10</v>
      </c>
      <c r="C95" s="30" t="s">
        <v>95</v>
      </c>
      <c r="D95" s="30" t="s">
        <v>108</v>
      </c>
      <c r="E95" s="30"/>
    </row>
    <row r="96" spans="1:5" x14ac:dyDescent="0.25">
      <c r="A96" s="30" t="s">
        <v>192</v>
      </c>
      <c r="B96" s="30">
        <v>10</v>
      </c>
      <c r="C96" s="30" t="s">
        <v>95</v>
      </c>
      <c r="D96" s="30" t="s">
        <v>109</v>
      </c>
      <c r="E96" s="30"/>
    </row>
    <row r="97" spans="1:5" x14ac:dyDescent="0.25">
      <c r="A97" s="30" t="s">
        <v>193</v>
      </c>
      <c r="B97" s="30">
        <v>10</v>
      </c>
      <c r="C97" s="30" t="s">
        <v>95</v>
      </c>
      <c r="D97" s="30" t="s">
        <v>110</v>
      </c>
      <c r="E97" s="30"/>
    </row>
    <row r="98" spans="1:5" x14ac:dyDescent="0.25">
      <c r="A98" s="30" t="s">
        <v>194</v>
      </c>
      <c r="B98" s="30">
        <v>10</v>
      </c>
      <c r="C98" s="30" t="s">
        <v>95</v>
      </c>
      <c r="D98" s="30" t="s">
        <v>111</v>
      </c>
      <c r="E98" s="30"/>
    </row>
    <row r="99" spans="1:5" x14ac:dyDescent="0.25">
      <c r="A99" s="30" t="s">
        <v>195</v>
      </c>
      <c r="B99" s="30">
        <v>9.0799999999999272</v>
      </c>
      <c r="C99" s="30" t="s">
        <v>112</v>
      </c>
      <c r="D99" s="30" t="s">
        <v>196</v>
      </c>
      <c r="E99" s="30" t="s">
        <v>197</v>
      </c>
    </row>
    <row r="102" spans="1:5" x14ac:dyDescent="0.25">
      <c r="A102" s="38" t="s">
        <v>91</v>
      </c>
      <c r="B102" s="38" t="s">
        <v>41</v>
      </c>
      <c r="C102" s="38" t="s">
        <v>38</v>
      </c>
      <c r="D102" s="38"/>
      <c r="E102" s="38" t="s">
        <v>12</v>
      </c>
    </row>
    <row r="103" spans="1:5" x14ac:dyDescent="0.25">
      <c r="A103" s="38"/>
      <c r="B103" s="38"/>
      <c r="C103" s="35" t="s">
        <v>36</v>
      </c>
      <c r="D103" s="35" t="s">
        <v>37</v>
      </c>
      <c r="E103" s="38"/>
    </row>
    <row r="104" spans="1:5" x14ac:dyDescent="0.25">
      <c r="A104" s="30" t="s">
        <v>175</v>
      </c>
      <c r="B104" s="30"/>
      <c r="C104" s="30"/>
      <c r="D104" s="30"/>
      <c r="E104" s="30" t="s">
        <v>177</v>
      </c>
    </row>
    <row r="105" spans="1:5" x14ac:dyDescent="0.25">
      <c r="A105" s="30" t="s">
        <v>113</v>
      </c>
      <c r="B105" s="30">
        <v>6.6200000000000045</v>
      </c>
      <c r="C105" s="30" t="s">
        <v>198</v>
      </c>
      <c r="D105" s="30" t="s">
        <v>198</v>
      </c>
      <c r="E105" s="30"/>
    </row>
    <row r="106" spans="1:5" x14ac:dyDescent="0.25">
      <c r="A106" s="30" t="s">
        <v>114</v>
      </c>
      <c r="B106" s="30">
        <v>10</v>
      </c>
      <c r="C106" s="30" t="s">
        <v>95</v>
      </c>
      <c r="D106" s="30" t="s">
        <v>199</v>
      </c>
      <c r="E106" s="30"/>
    </row>
    <row r="107" spans="1:5" x14ac:dyDescent="0.25">
      <c r="A107" s="30" t="s">
        <v>115</v>
      </c>
      <c r="B107" s="30">
        <v>10</v>
      </c>
      <c r="C107" s="30" t="s">
        <v>95</v>
      </c>
      <c r="D107" s="30" t="s">
        <v>200</v>
      </c>
      <c r="E107" s="30"/>
    </row>
    <row r="108" spans="1:5" x14ac:dyDescent="0.25">
      <c r="A108" s="30" t="s">
        <v>116</v>
      </c>
      <c r="B108" s="30">
        <v>10</v>
      </c>
      <c r="C108" s="30" t="s">
        <v>95</v>
      </c>
      <c r="D108" s="30" t="s">
        <v>201</v>
      </c>
      <c r="E108" s="30"/>
    </row>
    <row r="109" spans="1:5" x14ac:dyDescent="0.25">
      <c r="A109" s="30" t="s">
        <v>117</v>
      </c>
      <c r="B109" s="30">
        <v>10</v>
      </c>
      <c r="C109" s="30" t="s">
        <v>95</v>
      </c>
      <c r="D109" s="30" t="s">
        <v>202</v>
      </c>
      <c r="E109" s="30"/>
    </row>
    <row r="110" spans="1:5" x14ac:dyDescent="0.25">
      <c r="A110" s="30" t="s">
        <v>118</v>
      </c>
      <c r="B110" s="30">
        <v>10</v>
      </c>
      <c r="C110" s="30" t="s">
        <v>95</v>
      </c>
      <c r="D110" s="30" t="s">
        <v>203</v>
      </c>
      <c r="E110" s="30"/>
    </row>
    <row r="111" spans="1:5" x14ac:dyDescent="0.25">
      <c r="A111" s="30" t="s">
        <v>119</v>
      </c>
      <c r="B111" s="30">
        <v>10</v>
      </c>
      <c r="C111" s="30" t="s">
        <v>95</v>
      </c>
      <c r="D111" s="30" t="s">
        <v>204</v>
      </c>
      <c r="E111" s="30"/>
    </row>
    <row r="112" spans="1:5" x14ac:dyDescent="0.25">
      <c r="A112" s="30" t="s">
        <v>120</v>
      </c>
      <c r="B112" s="30">
        <v>10</v>
      </c>
      <c r="C112" s="30" t="s">
        <v>95</v>
      </c>
      <c r="D112" s="30" t="s">
        <v>205</v>
      </c>
      <c r="E112" s="30"/>
    </row>
    <row r="113" spans="1:5" x14ac:dyDescent="0.25">
      <c r="A113" s="30" t="s">
        <v>121</v>
      </c>
      <c r="B113" s="30">
        <v>10</v>
      </c>
      <c r="C113" s="30" t="s">
        <v>95</v>
      </c>
      <c r="D113" s="30" t="s">
        <v>206</v>
      </c>
      <c r="E113" s="30"/>
    </row>
    <row r="114" spans="1:5" x14ac:dyDescent="0.25">
      <c r="A114" s="30" t="s">
        <v>122</v>
      </c>
      <c r="B114" s="30">
        <v>10</v>
      </c>
      <c r="C114" s="30" t="s">
        <v>95</v>
      </c>
      <c r="D114" s="30" t="s">
        <v>207</v>
      </c>
      <c r="E114" s="30"/>
    </row>
    <row r="115" spans="1:5" x14ac:dyDescent="0.25">
      <c r="A115" s="30" t="s">
        <v>123</v>
      </c>
      <c r="B115" s="30">
        <v>10</v>
      </c>
      <c r="C115" s="30" t="s">
        <v>95</v>
      </c>
      <c r="D115" s="30" t="s">
        <v>208</v>
      </c>
      <c r="E115" s="30"/>
    </row>
    <row r="116" spans="1:5" x14ac:dyDescent="0.25">
      <c r="A116" s="30" t="s">
        <v>124</v>
      </c>
      <c r="B116" s="30">
        <v>10</v>
      </c>
      <c r="C116" s="30" t="s">
        <v>95</v>
      </c>
      <c r="D116" s="30" t="s">
        <v>209</v>
      </c>
      <c r="E116" s="30"/>
    </row>
    <row r="117" spans="1:5" x14ac:dyDescent="0.25">
      <c r="A117" s="30" t="s">
        <v>125</v>
      </c>
      <c r="B117" s="30">
        <v>10</v>
      </c>
      <c r="C117" s="30" t="s">
        <v>95</v>
      </c>
      <c r="D117" s="30" t="s">
        <v>210</v>
      </c>
      <c r="E117" s="30"/>
    </row>
    <row r="118" spans="1:5" x14ac:dyDescent="0.25">
      <c r="A118" s="30" t="s">
        <v>126</v>
      </c>
      <c r="B118" s="30">
        <v>10</v>
      </c>
      <c r="C118" s="30" t="s">
        <v>95</v>
      </c>
      <c r="D118" s="30" t="s">
        <v>211</v>
      </c>
      <c r="E118" s="30"/>
    </row>
    <row r="119" spans="1:5" x14ac:dyDescent="0.25">
      <c r="A119" s="30" t="s">
        <v>42</v>
      </c>
      <c r="B119" s="30">
        <v>10</v>
      </c>
      <c r="C119" s="30" t="s">
        <v>95</v>
      </c>
      <c r="D119" s="30" t="s">
        <v>212</v>
      </c>
      <c r="E119" s="30"/>
    </row>
    <row r="120" spans="1:5" x14ac:dyDescent="0.25">
      <c r="A120" s="30" t="s">
        <v>43</v>
      </c>
      <c r="B120" s="30">
        <v>10</v>
      </c>
      <c r="C120" s="30" t="s">
        <v>95</v>
      </c>
      <c r="D120" s="30" t="s">
        <v>213</v>
      </c>
      <c r="E120" s="30"/>
    </row>
    <row r="121" spans="1:5" x14ac:dyDescent="0.25">
      <c r="A121" s="30" t="s">
        <v>44</v>
      </c>
      <c r="B121" s="30">
        <v>10</v>
      </c>
      <c r="C121" s="30" t="s">
        <v>95</v>
      </c>
      <c r="D121" s="30" t="s">
        <v>214</v>
      </c>
      <c r="E121" s="30"/>
    </row>
    <row r="122" spans="1:5" x14ac:dyDescent="0.25">
      <c r="A122" s="30" t="s">
        <v>45</v>
      </c>
      <c r="B122" s="30">
        <v>10</v>
      </c>
      <c r="C122" s="30" t="s">
        <v>95</v>
      </c>
      <c r="D122" s="30" t="s">
        <v>215</v>
      </c>
      <c r="E122" s="30"/>
    </row>
    <row r="123" spans="1:5" x14ac:dyDescent="0.25">
      <c r="A123" s="30" t="s">
        <v>46</v>
      </c>
      <c r="B123" s="30">
        <v>10</v>
      </c>
      <c r="C123" s="30" t="s">
        <v>95</v>
      </c>
      <c r="D123" s="30" t="s">
        <v>216</v>
      </c>
      <c r="E123" s="30"/>
    </row>
    <row r="124" spans="1:5" x14ac:dyDescent="0.25">
      <c r="A124" s="30" t="s">
        <v>47</v>
      </c>
      <c r="B124" s="30">
        <v>10</v>
      </c>
      <c r="C124" s="30" t="s">
        <v>95</v>
      </c>
      <c r="D124" s="30" t="s">
        <v>217</v>
      </c>
      <c r="E124" s="30"/>
    </row>
    <row r="125" spans="1:5" x14ac:dyDescent="0.25">
      <c r="A125" s="30" t="s">
        <v>48</v>
      </c>
      <c r="B125" s="30">
        <v>10</v>
      </c>
      <c r="C125" s="30" t="s">
        <v>95</v>
      </c>
      <c r="D125" s="30" t="s">
        <v>218</v>
      </c>
      <c r="E125" s="30"/>
    </row>
    <row r="126" spans="1:5" x14ac:dyDescent="0.25">
      <c r="A126" s="30" t="s">
        <v>49</v>
      </c>
      <c r="B126" s="30">
        <v>10</v>
      </c>
      <c r="C126" s="30" t="s">
        <v>95</v>
      </c>
      <c r="D126" s="30" t="s">
        <v>219</v>
      </c>
      <c r="E126" s="30"/>
    </row>
    <row r="127" spans="1:5" x14ac:dyDescent="0.25">
      <c r="A127" s="30" t="s">
        <v>50</v>
      </c>
      <c r="B127" s="30">
        <v>10</v>
      </c>
      <c r="C127" s="30" t="s">
        <v>95</v>
      </c>
      <c r="D127" s="30" t="s">
        <v>220</v>
      </c>
      <c r="E127" s="30"/>
    </row>
    <row r="128" spans="1:5" x14ac:dyDescent="0.25">
      <c r="A128" s="30" t="s">
        <v>51</v>
      </c>
      <c r="B128" s="30">
        <v>10</v>
      </c>
      <c r="C128" s="30" t="s">
        <v>95</v>
      </c>
      <c r="D128" s="30" t="s">
        <v>221</v>
      </c>
      <c r="E128" s="30"/>
    </row>
    <row r="129" spans="1:5" x14ac:dyDescent="0.25">
      <c r="A129" s="30" t="s">
        <v>52</v>
      </c>
      <c r="B129" s="30">
        <v>10</v>
      </c>
      <c r="C129" s="30" t="s">
        <v>95</v>
      </c>
      <c r="D129" s="30" t="s">
        <v>222</v>
      </c>
      <c r="E129" s="30"/>
    </row>
    <row r="130" spans="1:5" x14ac:dyDescent="0.25">
      <c r="A130" s="30" t="s">
        <v>53</v>
      </c>
      <c r="B130" s="30">
        <v>10</v>
      </c>
      <c r="C130" s="30" t="s">
        <v>95</v>
      </c>
      <c r="D130" s="30" t="s">
        <v>223</v>
      </c>
      <c r="E130" s="30"/>
    </row>
    <row r="131" spans="1:5" x14ac:dyDescent="0.25">
      <c r="A131" s="30" t="s">
        <v>54</v>
      </c>
      <c r="B131" s="30">
        <v>10</v>
      </c>
      <c r="C131" s="30" t="s">
        <v>95</v>
      </c>
      <c r="D131" s="30" t="s">
        <v>224</v>
      </c>
      <c r="E131" s="30"/>
    </row>
    <row r="132" spans="1:5" x14ac:dyDescent="0.25">
      <c r="A132" s="30" t="s">
        <v>55</v>
      </c>
      <c r="B132" s="30">
        <v>10</v>
      </c>
      <c r="C132" s="30" t="s">
        <v>95</v>
      </c>
      <c r="D132" s="30" t="s">
        <v>225</v>
      </c>
      <c r="E132" s="30"/>
    </row>
    <row r="133" spans="1:5" x14ac:dyDescent="0.25">
      <c r="A133" s="30" t="s">
        <v>56</v>
      </c>
      <c r="B133" s="30">
        <v>10</v>
      </c>
      <c r="C133" s="30" t="s">
        <v>95</v>
      </c>
      <c r="D133" s="30" t="s">
        <v>226</v>
      </c>
      <c r="E133" s="30"/>
    </row>
    <row r="134" spans="1:5" x14ac:dyDescent="0.25">
      <c r="A134" s="30" t="s">
        <v>57</v>
      </c>
      <c r="B134" s="30">
        <v>10</v>
      </c>
      <c r="C134" s="30" t="s">
        <v>95</v>
      </c>
      <c r="D134" s="30" t="s">
        <v>227</v>
      </c>
      <c r="E134" s="30"/>
    </row>
    <row r="135" spans="1:5" x14ac:dyDescent="0.25">
      <c r="A135" s="30" t="s">
        <v>58</v>
      </c>
      <c r="B135" s="30">
        <v>10</v>
      </c>
      <c r="C135" s="30" t="s">
        <v>95</v>
      </c>
      <c r="D135" s="30" t="s">
        <v>228</v>
      </c>
      <c r="E135" s="30"/>
    </row>
    <row r="136" spans="1:5" x14ac:dyDescent="0.25">
      <c r="A136" s="30" t="s">
        <v>59</v>
      </c>
      <c r="B136" s="30">
        <v>10</v>
      </c>
      <c r="C136" s="30" t="s">
        <v>95</v>
      </c>
      <c r="D136" s="30" t="s">
        <v>229</v>
      </c>
      <c r="E136" s="30"/>
    </row>
    <row r="137" spans="1:5" x14ac:dyDescent="0.25">
      <c r="A137" s="30" t="s">
        <v>60</v>
      </c>
      <c r="B137" s="30">
        <v>10</v>
      </c>
      <c r="C137" s="30" t="s">
        <v>95</v>
      </c>
      <c r="D137" s="30" t="s">
        <v>230</v>
      </c>
      <c r="E137" s="30"/>
    </row>
    <row r="138" spans="1:5" x14ac:dyDescent="0.25">
      <c r="A138" s="30" t="s">
        <v>61</v>
      </c>
      <c r="B138" s="30">
        <v>10</v>
      </c>
      <c r="C138" s="30" t="s">
        <v>95</v>
      </c>
      <c r="D138" s="30" t="s">
        <v>231</v>
      </c>
      <c r="E138" s="30"/>
    </row>
    <row r="139" spans="1:5" x14ac:dyDescent="0.25">
      <c r="A139" s="30" t="s">
        <v>62</v>
      </c>
      <c r="B139" s="30">
        <v>10</v>
      </c>
      <c r="C139" s="30" t="s">
        <v>95</v>
      </c>
      <c r="D139" s="30" t="s">
        <v>232</v>
      </c>
      <c r="E139" s="30"/>
    </row>
    <row r="140" spans="1:5" x14ac:dyDescent="0.25">
      <c r="A140" s="30" t="s">
        <v>63</v>
      </c>
      <c r="B140" s="30">
        <v>10</v>
      </c>
      <c r="C140" s="30" t="s">
        <v>95</v>
      </c>
      <c r="D140" s="30" t="s">
        <v>233</v>
      </c>
      <c r="E140" s="30"/>
    </row>
    <row r="141" spans="1:5" x14ac:dyDescent="0.25">
      <c r="A141" s="30" t="s">
        <v>64</v>
      </c>
      <c r="B141" s="30">
        <v>10</v>
      </c>
      <c r="C141" s="30" t="s">
        <v>95</v>
      </c>
      <c r="D141" s="30" t="s">
        <v>234</v>
      </c>
      <c r="E141" s="30"/>
    </row>
    <row r="142" spans="1:5" x14ac:dyDescent="0.25">
      <c r="A142" s="30" t="s">
        <v>65</v>
      </c>
      <c r="B142" s="30">
        <v>10</v>
      </c>
      <c r="C142" s="30" t="s">
        <v>95</v>
      </c>
      <c r="D142" s="30" t="s">
        <v>235</v>
      </c>
      <c r="E142" s="30"/>
    </row>
    <row r="143" spans="1:5" x14ac:dyDescent="0.25">
      <c r="A143" s="30" t="s">
        <v>66</v>
      </c>
      <c r="B143" s="30">
        <v>10</v>
      </c>
      <c r="C143" s="30" t="s">
        <v>95</v>
      </c>
      <c r="D143" s="30" t="s">
        <v>236</v>
      </c>
      <c r="E143" s="30"/>
    </row>
    <row r="144" spans="1:5" x14ac:dyDescent="0.25">
      <c r="A144" s="30" t="s">
        <v>67</v>
      </c>
      <c r="B144" s="30">
        <v>10</v>
      </c>
      <c r="C144" s="30" t="s">
        <v>95</v>
      </c>
      <c r="D144" s="30" t="s">
        <v>237</v>
      </c>
      <c r="E144" s="30"/>
    </row>
    <row r="145" spans="1:5" x14ac:dyDescent="0.25">
      <c r="A145" s="30" t="s">
        <v>68</v>
      </c>
      <c r="B145" s="30">
        <v>10</v>
      </c>
      <c r="C145" s="30" t="s">
        <v>95</v>
      </c>
      <c r="D145" s="30" t="s">
        <v>238</v>
      </c>
      <c r="E145" s="30"/>
    </row>
    <row r="146" spans="1:5" x14ac:dyDescent="0.25">
      <c r="A146" s="30" t="s">
        <v>69</v>
      </c>
      <c r="B146" s="30">
        <v>10</v>
      </c>
      <c r="C146" s="30" t="s">
        <v>95</v>
      </c>
      <c r="D146" s="30" t="s">
        <v>239</v>
      </c>
      <c r="E146" s="30"/>
    </row>
    <row r="147" spans="1:5" x14ac:dyDescent="0.25">
      <c r="A147" s="30" t="s">
        <v>70</v>
      </c>
      <c r="B147" s="30">
        <v>10</v>
      </c>
      <c r="C147" s="30" t="s">
        <v>95</v>
      </c>
      <c r="D147" s="30" t="s">
        <v>240</v>
      </c>
      <c r="E147" s="30"/>
    </row>
    <row r="148" spans="1:5" x14ac:dyDescent="0.25">
      <c r="A148" s="30" t="s">
        <v>71</v>
      </c>
      <c r="B148" s="30">
        <v>10</v>
      </c>
      <c r="C148" s="30" t="s">
        <v>95</v>
      </c>
      <c r="D148" s="30" t="s">
        <v>241</v>
      </c>
      <c r="E148" s="30"/>
    </row>
    <row r="149" spans="1:5" x14ac:dyDescent="0.25">
      <c r="A149" s="30" t="s">
        <v>72</v>
      </c>
      <c r="B149" s="30">
        <v>10</v>
      </c>
      <c r="C149" s="30" t="s">
        <v>95</v>
      </c>
      <c r="D149" s="30" t="s">
        <v>242</v>
      </c>
      <c r="E149" s="30"/>
    </row>
    <row r="150" spans="1:5" x14ac:dyDescent="0.25">
      <c r="A150" s="30" t="s">
        <v>73</v>
      </c>
      <c r="B150" s="30">
        <v>10</v>
      </c>
      <c r="C150" s="30" t="s">
        <v>95</v>
      </c>
      <c r="D150" s="30" t="s">
        <v>243</v>
      </c>
      <c r="E150" s="30"/>
    </row>
    <row r="151" spans="1:5" x14ac:dyDescent="0.25">
      <c r="A151" s="30" t="s">
        <v>74</v>
      </c>
      <c r="B151" s="30">
        <v>10</v>
      </c>
      <c r="C151" s="30" t="s">
        <v>95</v>
      </c>
      <c r="D151" s="30" t="s">
        <v>244</v>
      </c>
      <c r="E151" s="30"/>
    </row>
    <row r="152" spans="1:5" x14ac:dyDescent="0.25">
      <c r="A152" s="30" t="s">
        <v>75</v>
      </c>
      <c r="B152" s="30">
        <v>10</v>
      </c>
      <c r="C152" s="30" t="s">
        <v>95</v>
      </c>
      <c r="D152" s="30" t="s">
        <v>245</v>
      </c>
      <c r="E152" s="30"/>
    </row>
    <row r="153" spans="1:5" x14ac:dyDescent="0.25">
      <c r="A153" s="30" t="s">
        <v>76</v>
      </c>
      <c r="B153" s="30">
        <v>10</v>
      </c>
      <c r="C153" s="30" t="s">
        <v>95</v>
      </c>
      <c r="D153" s="30" t="s">
        <v>246</v>
      </c>
      <c r="E153" s="30"/>
    </row>
    <row r="154" spans="1:5" x14ac:dyDescent="0.25">
      <c r="A154" s="30" t="s">
        <v>77</v>
      </c>
      <c r="B154" s="30">
        <v>10</v>
      </c>
      <c r="C154" s="30" t="s">
        <v>95</v>
      </c>
      <c r="D154" s="30" t="s">
        <v>247</v>
      </c>
      <c r="E154" s="30"/>
    </row>
    <row r="155" spans="1:5" x14ac:dyDescent="0.25">
      <c r="A155" s="30" t="s">
        <v>78</v>
      </c>
      <c r="B155" s="30">
        <v>10</v>
      </c>
      <c r="C155" s="30" t="s">
        <v>95</v>
      </c>
      <c r="D155" s="30" t="s">
        <v>248</v>
      </c>
      <c r="E155" s="30"/>
    </row>
    <row r="156" spans="1:5" x14ac:dyDescent="0.25">
      <c r="A156" s="30" t="s">
        <v>79</v>
      </c>
      <c r="B156" s="30">
        <v>10</v>
      </c>
      <c r="C156" s="30" t="s">
        <v>95</v>
      </c>
      <c r="D156" s="30" t="s">
        <v>249</v>
      </c>
      <c r="E156" s="30"/>
    </row>
    <row r="157" spans="1:5" x14ac:dyDescent="0.25">
      <c r="A157" s="30" t="s">
        <v>80</v>
      </c>
      <c r="B157" s="30">
        <v>10</v>
      </c>
      <c r="C157" s="30" t="s">
        <v>95</v>
      </c>
      <c r="D157" s="30" t="s">
        <v>250</v>
      </c>
      <c r="E157" s="30"/>
    </row>
    <row r="158" spans="1:5" x14ac:dyDescent="0.25">
      <c r="A158" s="30" t="s">
        <v>81</v>
      </c>
      <c r="B158" s="30">
        <v>10</v>
      </c>
      <c r="C158" s="30" t="s">
        <v>95</v>
      </c>
      <c r="D158" s="30" t="s">
        <v>251</v>
      </c>
      <c r="E158" s="30"/>
    </row>
    <row r="159" spans="1:5" x14ac:dyDescent="0.25">
      <c r="A159" s="30" t="s">
        <v>82</v>
      </c>
      <c r="B159" s="30">
        <v>10</v>
      </c>
      <c r="C159" s="30" t="s">
        <v>95</v>
      </c>
      <c r="D159" s="30" t="s">
        <v>252</v>
      </c>
      <c r="E159" s="30"/>
    </row>
    <row r="160" spans="1:5" x14ac:dyDescent="0.25">
      <c r="A160" s="30" t="s">
        <v>83</v>
      </c>
      <c r="B160" s="30">
        <v>10</v>
      </c>
      <c r="C160" s="30" t="s">
        <v>95</v>
      </c>
      <c r="D160" s="30" t="s">
        <v>253</v>
      </c>
      <c r="E160" s="30"/>
    </row>
    <row r="161" spans="1:5" x14ac:dyDescent="0.25">
      <c r="A161" s="30" t="s">
        <v>84</v>
      </c>
      <c r="B161" s="30">
        <v>10</v>
      </c>
      <c r="C161" s="30" t="s">
        <v>95</v>
      </c>
      <c r="D161" s="30" t="s">
        <v>254</v>
      </c>
      <c r="E161" s="30"/>
    </row>
    <row r="162" spans="1:5" x14ac:dyDescent="0.25">
      <c r="A162" s="30" t="s">
        <v>85</v>
      </c>
      <c r="B162" s="30">
        <v>10</v>
      </c>
      <c r="C162" s="30" t="s">
        <v>95</v>
      </c>
      <c r="D162" s="30" t="s">
        <v>255</v>
      </c>
      <c r="E162" s="30"/>
    </row>
    <row r="163" spans="1:5" x14ac:dyDescent="0.25">
      <c r="A163" s="30" t="s">
        <v>86</v>
      </c>
      <c r="B163" s="30">
        <v>10</v>
      </c>
      <c r="C163" s="30" t="s">
        <v>95</v>
      </c>
      <c r="D163" s="30" t="s">
        <v>256</v>
      </c>
      <c r="E163" s="30"/>
    </row>
    <row r="164" spans="1:5" x14ac:dyDescent="0.25">
      <c r="A164" s="30" t="s">
        <v>87</v>
      </c>
      <c r="B164" s="30">
        <v>10</v>
      </c>
      <c r="C164" s="30" t="s">
        <v>95</v>
      </c>
      <c r="D164" s="30" t="s">
        <v>257</v>
      </c>
      <c r="E164" s="30"/>
    </row>
    <row r="165" spans="1:5" x14ac:dyDescent="0.25">
      <c r="A165" s="30" t="s">
        <v>88</v>
      </c>
      <c r="B165" s="30">
        <v>10</v>
      </c>
      <c r="C165" s="30" t="s">
        <v>95</v>
      </c>
      <c r="D165" s="30" t="s">
        <v>258</v>
      </c>
      <c r="E165" s="30"/>
    </row>
    <row r="166" spans="1:5" x14ac:dyDescent="0.25">
      <c r="A166" s="30" t="s">
        <v>89</v>
      </c>
      <c r="B166" s="30">
        <v>10</v>
      </c>
      <c r="C166" s="30" t="s">
        <v>95</v>
      </c>
      <c r="D166" s="30" t="s">
        <v>259</v>
      </c>
      <c r="E166" s="30"/>
    </row>
    <row r="167" spans="1:5" x14ac:dyDescent="0.25">
      <c r="A167" s="30" t="s">
        <v>90</v>
      </c>
      <c r="B167" s="30">
        <v>10</v>
      </c>
      <c r="C167" s="30" t="s">
        <v>95</v>
      </c>
      <c r="D167" s="30" t="s">
        <v>260</v>
      </c>
      <c r="E167" s="30"/>
    </row>
    <row r="168" spans="1:5" x14ac:dyDescent="0.25">
      <c r="A168" s="30" t="s">
        <v>127</v>
      </c>
      <c r="B168" s="30">
        <v>10</v>
      </c>
      <c r="C168" s="30" t="s">
        <v>95</v>
      </c>
      <c r="D168" s="30" t="s">
        <v>261</v>
      </c>
      <c r="E168" s="30"/>
    </row>
    <row r="169" spans="1:5" x14ac:dyDescent="0.25">
      <c r="A169" s="30" t="s">
        <v>128</v>
      </c>
      <c r="B169" s="30">
        <v>10</v>
      </c>
      <c r="C169" s="30" t="s">
        <v>95</v>
      </c>
      <c r="D169" s="30" t="s">
        <v>262</v>
      </c>
      <c r="E169" s="30"/>
    </row>
    <row r="170" spans="1:5" x14ac:dyDescent="0.25">
      <c r="A170" s="30" t="s">
        <v>129</v>
      </c>
      <c r="B170" s="30">
        <v>10</v>
      </c>
      <c r="C170" s="30" t="s">
        <v>95</v>
      </c>
      <c r="D170" s="30" t="s">
        <v>263</v>
      </c>
      <c r="E170" s="30"/>
    </row>
    <row r="171" spans="1:5" x14ac:dyDescent="0.25">
      <c r="A171" s="30" t="s">
        <v>130</v>
      </c>
      <c r="B171" s="30">
        <v>10</v>
      </c>
      <c r="C171" s="30" t="s">
        <v>95</v>
      </c>
      <c r="D171" s="30" t="s">
        <v>264</v>
      </c>
      <c r="E171" s="30"/>
    </row>
    <row r="172" spans="1:5" x14ac:dyDescent="0.25">
      <c r="A172" s="30" t="s">
        <v>131</v>
      </c>
      <c r="B172" s="30">
        <v>10</v>
      </c>
      <c r="C172" s="30" t="s">
        <v>95</v>
      </c>
      <c r="D172" s="30" t="s">
        <v>265</v>
      </c>
      <c r="E172" s="30"/>
    </row>
    <row r="173" spans="1:5" x14ac:dyDescent="0.25">
      <c r="A173" s="30" t="s">
        <v>132</v>
      </c>
      <c r="B173" s="30">
        <v>10</v>
      </c>
      <c r="C173" s="30" t="s">
        <v>95</v>
      </c>
      <c r="D173" s="30" t="s">
        <v>266</v>
      </c>
      <c r="E173" s="30"/>
    </row>
    <row r="174" spans="1:5" x14ac:dyDescent="0.25">
      <c r="A174" s="30" t="s">
        <v>133</v>
      </c>
      <c r="B174" s="30">
        <v>10</v>
      </c>
      <c r="C174" s="30" t="s">
        <v>95</v>
      </c>
      <c r="D174" s="30" t="s">
        <v>267</v>
      </c>
      <c r="E174" s="30"/>
    </row>
    <row r="175" spans="1:5" x14ac:dyDescent="0.25">
      <c r="A175" s="30" t="s">
        <v>134</v>
      </c>
      <c r="B175" s="30">
        <v>10</v>
      </c>
      <c r="C175" s="30" t="s">
        <v>95</v>
      </c>
      <c r="D175" s="30" t="s">
        <v>268</v>
      </c>
      <c r="E175" s="30"/>
    </row>
    <row r="176" spans="1:5" x14ac:dyDescent="0.25">
      <c r="A176" s="30" t="s">
        <v>135</v>
      </c>
      <c r="B176" s="30">
        <v>10</v>
      </c>
      <c r="C176" s="30" t="s">
        <v>95</v>
      </c>
      <c r="D176" s="30" t="s">
        <v>269</v>
      </c>
      <c r="E176" s="30"/>
    </row>
    <row r="177" spans="1:5" x14ac:dyDescent="0.25">
      <c r="A177" s="30" t="s">
        <v>136</v>
      </c>
      <c r="B177" s="30">
        <v>10</v>
      </c>
      <c r="C177" s="30" t="s">
        <v>95</v>
      </c>
      <c r="D177" s="30" t="s">
        <v>270</v>
      </c>
      <c r="E177" s="30"/>
    </row>
    <row r="178" spans="1:5" x14ac:dyDescent="0.25">
      <c r="A178" s="30" t="s">
        <v>137</v>
      </c>
      <c r="B178" s="30">
        <v>10</v>
      </c>
      <c r="C178" s="30" t="s">
        <v>95</v>
      </c>
      <c r="D178" s="30" t="s">
        <v>271</v>
      </c>
      <c r="E178" s="30"/>
    </row>
    <row r="179" spans="1:5" x14ac:dyDescent="0.25">
      <c r="A179" s="30" t="s">
        <v>138</v>
      </c>
      <c r="B179" s="30">
        <v>10</v>
      </c>
      <c r="C179" s="30" t="s">
        <v>95</v>
      </c>
      <c r="D179" s="30" t="s">
        <v>272</v>
      </c>
      <c r="E179" s="30"/>
    </row>
    <row r="180" spans="1:5" x14ac:dyDescent="0.25">
      <c r="A180" s="30" t="s">
        <v>139</v>
      </c>
      <c r="B180" s="30">
        <v>10</v>
      </c>
      <c r="C180" s="30" t="s">
        <v>95</v>
      </c>
      <c r="D180" s="30" t="s">
        <v>273</v>
      </c>
      <c r="E180" s="30"/>
    </row>
    <row r="181" spans="1:5" x14ac:dyDescent="0.25">
      <c r="A181" s="30" t="s">
        <v>140</v>
      </c>
      <c r="B181" s="30">
        <v>10</v>
      </c>
      <c r="C181" s="30" t="s">
        <v>95</v>
      </c>
      <c r="D181" s="30" t="s">
        <v>274</v>
      </c>
      <c r="E181" s="30"/>
    </row>
    <row r="182" spans="1:5" x14ac:dyDescent="0.25">
      <c r="A182" s="30" t="s">
        <v>195</v>
      </c>
      <c r="B182" s="30">
        <v>2.4600000000000364</v>
      </c>
      <c r="C182" s="30" t="s">
        <v>275</v>
      </c>
      <c r="D182" s="30" t="s">
        <v>196</v>
      </c>
      <c r="E182" s="30" t="s">
        <v>197</v>
      </c>
    </row>
  </sheetData>
  <mergeCells count="21">
    <mergeCell ref="K20:L20"/>
    <mergeCell ref="M20:M21"/>
    <mergeCell ref="A102:A103"/>
    <mergeCell ref="B102:B103"/>
    <mergeCell ref="C102:D102"/>
    <mergeCell ref="E102:E103"/>
    <mergeCell ref="J20:J21"/>
    <mergeCell ref="I1:I2"/>
    <mergeCell ref="A1:A2"/>
    <mergeCell ref="B1:B2"/>
    <mergeCell ref="C1:C2"/>
    <mergeCell ref="D1:E1"/>
    <mergeCell ref="F1:F2"/>
    <mergeCell ref="A20:A21"/>
    <mergeCell ref="B20:B21"/>
    <mergeCell ref="C20:D20"/>
    <mergeCell ref="E20:E21"/>
    <mergeCell ref="I20:I21"/>
    <mergeCell ref="J1:J2"/>
    <mergeCell ref="K1:L1"/>
    <mergeCell ref="M1:M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Locação</vt:lpstr>
      <vt:lpstr>Curva de Transição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Rafael</cp:lastModifiedBy>
  <dcterms:created xsi:type="dcterms:W3CDTF">2020-10-24T13:32:16Z</dcterms:created>
  <dcterms:modified xsi:type="dcterms:W3CDTF">2021-05-05T12:53:50Z</dcterms:modified>
</cp:coreProperties>
</file>
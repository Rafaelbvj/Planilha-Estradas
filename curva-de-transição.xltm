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fae\OneDrive\Desktop\"/>
    </mc:Choice>
  </mc:AlternateContent>
  <xr:revisionPtr revIDLastSave="0" documentId="13_ncr:11_{8C74A55E-F44A-4583-85BD-244FCB0B9102}" xr6:coauthVersionLast="47" xr6:coauthVersionMax="47" xr10:uidLastSave="{00000000-0000-0000-0000-000000000000}"/>
  <bookViews>
    <workbookView xWindow="-120" yWindow="-120" windowWidth="20730" windowHeight="11160" tabRatio="599" xr2:uid="{17253723-8692-45FC-93BB-C901843307C8}"/>
  </bookViews>
  <sheets>
    <sheet name="Dado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" l="1"/>
  <c r="F6" i="1" l="1"/>
  <c r="F7" i="1"/>
  <c r="F8" i="1"/>
  <c r="F9" i="1"/>
  <c r="F10" i="1"/>
  <c r="F11" i="1"/>
  <c r="F12" i="1"/>
  <c r="F13" i="1"/>
  <c r="F14" i="1"/>
  <c r="F15" i="1"/>
  <c r="F5" i="1"/>
  <c r="H13" i="1"/>
  <c r="G9" i="1"/>
  <c r="G14" i="1"/>
  <c r="G15" i="1"/>
  <c r="H8" i="1"/>
  <c r="H5" i="1"/>
  <c r="H6" i="1"/>
  <c r="G13" i="1"/>
  <c r="G11" i="1"/>
  <c r="G7" i="1"/>
  <c r="M5" i="1"/>
  <c r="H9" i="1"/>
  <c r="H14" i="1"/>
  <c r="H10" i="1"/>
  <c r="H15" i="1"/>
  <c r="H11" i="1"/>
  <c r="G10" i="1"/>
  <c r="G8" i="1"/>
  <c r="H7" i="1"/>
  <c r="G6" i="1"/>
  <c r="G12" i="1"/>
  <c r="H12" i="1"/>
  <c r="J5" i="1" l="1"/>
  <c r="J7" i="1"/>
  <c r="J14" i="1"/>
  <c r="J10" i="1"/>
  <c r="J6" i="1"/>
  <c r="J15" i="1"/>
  <c r="J11" i="1"/>
  <c r="J13" i="1"/>
  <c r="J9" i="1"/>
  <c r="J12" i="1"/>
  <c r="J8" i="1"/>
  <c r="F3" i="1"/>
  <c r="M3" i="1"/>
  <c r="C4" i="1"/>
  <c r="C7" i="1"/>
  <c r="I10" i="1"/>
  <c r="C14" i="1"/>
  <c r="I9" i="1"/>
  <c r="C5" i="1"/>
  <c r="I13" i="1"/>
  <c r="C9" i="1"/>
  <c r="C12" i="1"/>
  <c r="M4" i="1"/>
  <c r="I8" i="1"/>
  <c r="H4" i="1"/>
  <c r="I12" i="1"/>
  <c r="I5" i="1"/>
  <c r="I15" i="1"/>
  <c r="G5" i="1"/>
  <c r="H3" i="1"/>
  <c r="I14" i="1"/>
  <c r="I6" i="1"/>
  <c r="C11" i="1"/>
  <c r="C10" i="1"/>
  <c r="C3" i="1"/>
  <c r="G3" i="1"/>
  <c r="I7" i="1"/>
  <c r="I11" i="1"/>
  <c r="C8" i="1"/>
  <c r="C13" i="1"/>
  <c r="C15" i="1"/>
  <c r="C6" i="1"/>
  <c r="G4" i="1"/>
  <c r="J4" i="1" l="1"/>
  <c r="J3" i="1"/>
  <c r="I3" i="1"/>
  <c r="I4" i="1"/>
</calcChain>
</file>

<file path=xl/sharedStrings.xml><?xml version="1.0" encoding="utf-8"?>
<sst xmlns="http://schemas.openxmlformats.org/spreadsheetml/2006/main" count="30" uniqueCount="21">
  <si>
    <t>Graus</t>
  </si>
  <si>
    <t>Deflexão</t>
  </si>
  <si>
    <t>Decimal</t>
  </si>
  <si>
    <t>Raio</t>
  </si>
  <si>
    <t>metros</t>
  </si>
  <si>
    <t>Raio corrigido</t>
  </si>
  <si>
    <t>Parâmetros</t>
  </si>
  <si>
    <t>L</t>
  </si>
  <si>
    <t>Dc corrigida</t>
  </si>
  <si>
    <t>m</t>
  </si>
  <si>
    <t>Dc</t>
  </si>
  <si>
    <t>Arco na concordancia simples</t>
  </si>
  <si>
    <t>Azimutes</t>
  </si>
  <si>
    <t>decimal</t>
  </si>
  <si>
    <t>graus</t>
  </si>
  <si>
    <t>Lc</t>
  </si>
  <si>
    <t>Arco na curva de transição</t>
  </si>
  <si>
    <t>E</t>
  </si>
  <si>
    <t>S</t>
  </si>
  <si>
    <t>Instruções: 1 - Preencher os campos em verde 2 -No ultimo alinhamento insira o seu comprimento L e defina  R = 0. 3 - "S" indica o sentido da deflexão, E (esquerda negativo) e D (direita positivo)</t>
  </si>
  <si>
    <t>Comprimento das estacas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</si>
</sst>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0" fillId="2" borderId="1" xfId="0" quotePrefix="1" applyFill="1" applyBorder="1" applyAlignment="1">
      <alignment horizontal="center"/>
    </xf>
    <xf numFmtId="2" fontId="2" fillId="3" borderId="0" xfId="0" applyNumberFormat="1" applyFont="1" applyFill="1"/>
    <xf numFmtId="0" fontId="2" fillId="3" borderId="0" xfId="0" applyFont="1" applyFill="1"/>
    <xf numFmtId="0" fontId="1" fillId="0" borderId="0" xfId="0" applyFont="1" applyAlignment="1">
      <alignment horizontal="center"/>
    </xf>
    <xf numFmtId="2" fontId="0" fillId="2" borderId="1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3" xfId="0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1" applyNumberFormat="1" applyFont="1" applyBorder="1"/>
    <xf numFmtId="0" fontId="1" fillId="0" borderId="0" xfId="0" applyFont="1"/>
    <xf numFmtId="0" fontId="6" fillId="0" borderId="0" xfId="0" applyFont="1" applyAlignment="1">
      <alignment horizontal="center"/>
    </xf>
    <xf numFmtId="0" fontId="2" fillId="2" borderId="1" xfId="0" applyFont="1" applyFill="1" applyBorder="1"/>
    <xf numFmtId="0" fontId="7" fillId="2" borderId="1" xfId="0" applyFont="1" applyFill="1" applyBorder="1"/>
    <xf numFmtId="2" fontId="0" fillId="0" borderId="0" xfId="0" applyNumberFormat="1"/>
    <xf numFmtId="0" fontId="1" fillId="0" borderId="0" xfId="0" applyFont="1" applyAlignment="1">
      <alignment horizontal="center"/>
    </xf>
    <xf numFmtId="0" fontId="0" fillId="4" borderId="0" xfId="0" applyFill="1" applyAlignment="1">
      <alignment vertical="top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AB$2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7</xdr:row>
          <xdr:rowOff>85725</xdr:rowOff>
        </xdr:from>
        <xdr:to>
          <xdr:col>19</xdr:col>
          <xdr:colOff>266700</xdr:colOff>
          <xdr:row>9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estacas dos pontos notaveis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4</xdr:row>
          <xdr:rowOff>123825</xdr:rowOff>
        </xdr:from>
        <xdr:to>
          <xdr:col>14</xdr:col>
          <xdr:colOff>1647825</xdr:colOff>
          <xdr:row>6</xdr:row>
          <xdr:rowOff>180975</xdr:rowOff>
        </xdr:to>
        <xdr:sp macro="" textlink="">
          <xdr:nvSpPr>
            <xdr:cNvPr id="1032" name="check_correcao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Usar raio corrigido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10</xdr:row>
          <xdr:rowOff>171450</xdr:rowOff>
        </xdr:from>
        <xdr:to>
          <xdr:col>19</xdr:col>
          <xdr:colOff>276225</xdr:colOff>
          <xdr:row>13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concordância simples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14</xdr:row>
          <xdr:rowOff>190500</xdr:rowOff>
        </xdr:from>
        <xdr:to>
          <xdr:col>19</xdr:col>
          <xdr:colOff>266700</xdr:colOff>
          <xdr:row>16</xdr:row>
          <xdr:rowOff>152400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transição com curva simples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707EE-C78F-43C8-9D72-20EDFB591B78}">
  <sheetPr codeName="Sheet1"/>
  <dimension ref="A1:AB30"/>
  <sheetViews>
    <sheetView tabSelected="1" zoomScaleNormal="100" workbookViewId="0">
      <selection activeCell="M4" sqref="M4"/>
    </sheetView>
  </sheetViews>
  <sheetFormatPr defaultRowHeight="15" x14ac:dyDescent="0.25"/>
  <cols>
    <col min="1" max="1" width="3" bestFit="1" customWidth="1"/>
    <col min="2" max="2" width="9.28515625" customWidth="1"/>
    <col min="3" max="3" width="11.5703125" customWidth="1"/>
    <col min="4" max="4" width="12.7109375" customWidth="1"/>
    <col min="5" max="5" width="10.5703125" customWidth="1"/>
    <col min="6" max="6" width="8.140625" bestFit="1" customWidth="1"/>
    <col min="7" max="7" width="8.42578125" bestFit="1" customWidth="1"/>
    <col min="8" max="8" width="13.28515625" bestFit="1" customWidth="1"/>
    <col min="9" max="9" width="8.42578125" bestFit="1" customWidth="1"/>
    <col min="10" max="10" width="13.28515625" bestFit="1" customWidth="1"/>
    <col min="11" max="11" width="7.28515625" bestFit="1" customWidth="1"/>
    <col min="12" max="12" width="9" bestFit="1" customWidth="1"/>
    <col min="13" max="13" width="10.140625" bestFit="1" customWidth="1"/>
    <col min="14" max="14" width="4.42578125" bestFit="1" customWidth="1"/>
    <col min="15" max="15" width="27.42578125" bestFit="1" customWidth="1"/>
    <col min="17" max="17" width="2.85546875" bestFit="1" customWidth="1"/>
    <col min="28" max="28" width="12.42578125" bestFit="1" customWidth="1"/>
  </cols>
  <sheetData>
    <row r="1" spans="1:28" x14ac:dyDescent="0.25">
      <c r="B1" s="18" t="s">
        <v>1</v>
      </c>
      <c r="C1" s="18"/>
      <c r="D1" s="7" t="s">
        <v>3</v>
      </c>
      <c r="E1" s="7" t="s">
        <v>7</v>
      </c>
      <c r="F1" s="18" t="s">
        <v>10</v>
      </c>
      <c r="G1" s="18"/>
      <c r="H1" s="18" t="s">
        <v>8</v>
      </c>
      <c r="I1" s="18"/>
      <c r="J1" s="7" t="s">
        <v>5</v>
      </c>
      <c r="K1" s="7" t="s">
        <v>15</v>
      </c>
      <c r="L1" s="18" t="s">
        <v>12</v>
      </c>
      <c r="M1" s="18"/>
      <c r="N1" s="13" t="s">
        <v>18</v>
      </c>
      <c r="O1" s="18" t="s">
        <v>6</v>
      </c>
      <c r="P1" s="18"/>
      <c r="Q1" s="18"/>
    </row>
    <row r="2" spans="1:28" x14ac:dyDescent="0.25">
      <c r="A2" s="1"/>
      <c r="B2" s="2" t="s">
        <v>13</v>
      </c>
      <c r="C2" s="1" t="s">
        <v>0</v>
      </c>
      <c r="D2" s="2" t="s">
        <v>4</v>
      </c>
      <c r="E2" s="9" t="s">
        <v>4</v>
      </c>
      <c r="F2" s="10" t="s">
        <v>2</v>
      </c>
      <c r="G2" s="1" t="s">
        <v>0</v>
      </c>
      <c r="H2" s="1" t="s">
        <v>2</v>
      </c>
      <c r="I2" s="1" t="s">
        <v>0</v>
      </c>
      <c r="J2" s="1" t="s">
        <v>4</v>
      </c>
      <c r="K2" s="2" t="s">
        <v>4</v>
      </c>
      <c r="L2" s="2" t="s">
        <v>13</v>
      </c>
      <c r="M2" s="1" t="s">
        <v>14</v>
      </c>
      <c r="N2" s="15"/>
      <c r="O2" s="1" t="s">
        <v>20</v>
      </c>
      <c r="P2" s="5">
        <v>20</v>
      </c>
      <c r="Q2" s="6" t="s">
        <v>9</v>
      </c>
      <c r="AB2" t="b">
        <v>1</v>
      </c>
    </row>
    <row r="3" spans="1:28" x14ac:dyDescent="0.25">
      <c r="A3" s="7">
        <v>1</v>
      </c>
      <c r="B3" s="4">
        <v>30.302499999999998</v>
      </c>
      <c r="C3" s="1" t="str">
        <f>converter_graus(B3)</f>
        <v>30º18'9''</v>
      </c>
      <c r="D3" s="8">
        <v>1107.9079999999999</v>
      </c>
      <c r="E3" s="8">
        <v>1048.94</v>
      </c>
      <c r="F3" s="1">
        <f>ROUND(DEGREES(ASIN($P$3/(2*D3))),4)</f>
        <v>0.2586</v>
      </c>
      <c r="G3" s="1" t="str">
        <f>converter_graus(F3)</f>
        <v>0º15'31''</v>
      </c>
      <c r="H3" s="1" t="str">
        <f>corrigir_graus(F3)</f>
        <v>0,1666666667</v>
      </c>
      <c r="I3" s="1" t="str">
        <f>converter_graus(H3)</f>
        <v>0º10'0''</v>
      </c>
      <c r="J3" s="11">
        <f t="shared" ref="J3:J15" si="0">IF(H3="0",0,$P$3/(2*SIN(RADIANS(H3))))</f>
        <v>1718.8758091194939</v>
      </c>
      <c r="K3" s="3">
        <v>140</v>
      </c>
      <c r="L3" s="3">
        <v>172.23750000000001</v>
      </c>
      <c r="M3" t="str">
        <f>converter_graus(L3)</f>
        <v>172º14'15''</v>
      </c>
      <c r="N3" s="15" t="s">
        <v>17</v>
      </c>
      <c r="O3" t="s">
        <v>11</v>
      </c>
      <c r="P3" s="5">
        <v>10</v>
      </c>
      <c r="Q3" s="6" t="s">
        <v>9</v>
      </c>
    </row>
    <row r="4" spans="1:28" x14ac:dyDescent="0.25">
      <c r="A4" s="7">
        <v>2</v>
      </c>
      <c r="B4" s="4">
        <v>0</v>
      </c>
      <c r="C4" s="1" t="str">
        <f>converter_graus(B4)</f>
        <v>0º0'0''</v>
      </c>
      <c r="D4" s="8">
        <v>0</v>
      </c>
      <c r="E4" s="8">
        <v>2002.76</v>
      </c>
      <c r="F4" s="1">
        <f>IF(D4=0,0,ROUND(DEGREES(ASIN($P$3/(2*D4))),4))</f>
        <v>0</v>
      </c>
      <c r="G4" s="1" t="str">
        <f>converter_graus(F4)</f>
        <v>0º0'0''</v>
      </c>
      <c r="H4" s="1" t="str">
        <f>corrigir_graus(F4)</f>
        <v>0</v>
      </c>
      <c r="I4" s="1" t="str">
        <f t="shared" ref="I4:I15" si="1">converter_graus(H4)</f>
        <v>0º0'0''</v>
      </c>
      <c r="J4" s="11">
        <f t="shared" si="0"/>
        <v>0</v>
      </c>
      <c r="K4" s="3">
        <v>0</v>
      </c>
      <c r="L4" s="3">
        <v>141.935</v>
      </c>
      <c r="M4" t="str">
        <f>converter_graus(L4)</f>
        <v>141º56'6''</v>
      </c>
      <c r="N4" s="15"/>
      <c r="O4" s="1" t="s">
        <v>16</v>
      </c>
      <c r="P4" s="5">
        <v>10</v>
      </c>
      <c r="Q4" s="6" t="s">
        <v>9</v>
      </c>
    </row>
    <row r="5" spans="1:28" x14ac:dyDescent="0.25">
      <c r="A5" s="7">
        <v>3</v>
      </c>
      <c r="B5" s="2">
        <v>0</v>
      </c>
      <c r="C5" s="1" t="str">
        <f t="shared" ref="C5:C15" si="2">converter_graus(B5)</f>
        <v>0º0'0''</v>
      </c>
      <c r="D5" s="8">
        <v>0</v>
      </c>
      <c r="E5" s="8">
        <v>0</v>
      </c>
      <c r="F5" s="1">
        <f>IF(D5=0,0,ROUND(DEGREES(ASIN($P$3/(2*D5))),4))</f>
        <v>0</v>
      </c>
      <c r="G5" s="1" t="str">
        <f>converter_graus(F5)</f>
        <v>0º0'0''</v>
      </c>
      <c r="H5" s="1" t="str">
        <f>corrigir_graus(F5)</f>
        <v>0</v>
      </c>
      <c r="I5" s="1" t="str">
        <f t="shared" si="1"/>
        <v>0º0'0''</v>
      </c>
      <c r="J5" s="11">
        <f>IF(H5="0",0,$P$3/(2*SIN(RADIANS(H5))))</f>
        <v>0</v>
      </c>
      <c r="K5" s="3">
        <v>0</v>
      </c>
      <c r="L5" s="3">
        <v>0</v>
      </c>
      <c r="M5" t="str">
        <f>converter_graus(L5)</f>
        <v>0º0'0''</v>
      </c>
      <c r="N5" s="15"/>
    </row>
    <row r="6" spans="1:28" x14ac:dyDescent="0.25">
      <c r="A6" s="7">
        <v>4</v>
      </c>
      <c r="B6" s="2">
        <v>0</v>
      </c>
      <c r="C6" s="1" t="str">
        <f t="shared" si="2"/>
        <v>0º0'0''</v>
      </c>
      <c r="D6" s="2">
        <v>0</v>
      </c>
      <c r="E6" s="8">
        <v>0</v>
      </c>
      <c r="F6" s="1">
        <f t="shared" ref="F6:F15" si="3">IF(D6=0,0,ROUND(DEGREES(ASIN($P$3/(2*D6))),4))</f>
        <v>0</v>
      </c>
      <c r="G6" s="1" t="str">
        <f t="shared" ref="G6:G15" si="4">converter_graus(F6)</f>
        <v>0º0'0''</v>
      </c>
      <c r="H6" s="1" t="str">
        <f t="shared" ref="H6:H15" si="5">corrigir_graus(F6)</f>
        <v>0</v>
      </c>
      <c r="I6" s="1" t="str">
        <f t="shared" si="1"/>
        <v>0º0'0''</v>
      </c>
      <c r="J6" s="11">
        <f t="shared" si="0"/>
        <v>0</v>
      </c>
      <c r="K6" s="3"/>
      <c r="L6" s="3"/>
      <c r="N6" s="15"/>
    </row>
    <row r="7" spans="1:28" x14ac:dyDescent="0.25">
      <c r="A7" s="7">
        <v>5</v>
      </c>
      <c r="B7" s="2"/>
      <c r="C7" s="1" t="str">
        <f t="shared" si="2"/>
        <v>0º0'0''</v>
      </c>
      <c r="D7" s="2"/>
      <c r="E7" s="8"/>
      <c r="F7" s="1">
        <f t="shared" si="3"/>
        <v>0</v>
      </c>
      <c r="G7" s="1" t="str">
        <f t="shared" si="4"/>
        <v>0º0'0''</v>
      </c>
      <c r="H7" s="1" t="str">
        <f t="shared" si="5"/>
        <v>0</v>
      </c>
      <c r="I7" s="1" t="str">
        <f t="shared" si="1"/>
        <v>0º0'0''</v>
      </c>
      <c r="J7" s="11">
        <f t="shared" si="0"/>
        <v>0</v>
      </c>
      <c r="K7" s="3"/>
      <c r="L7" s="3"/>
      <c r="N7" s="15"/>
    </row>
    <row r="8" spans="1:28" x14ac:dyDescent="0.25">
      <c r="A8" s="7">
        <v>6</v>
      </c>
      <c r="B8" s="2"/>
      <c r="C8" s="1" t="str">
        <f t="shared" si="2"/>
        <v>0º0'0''</v>
      </c>
      <c r="D8" s="2"/>
      <c r="E8" s="8"/>
      <c r="F8" s="1">
        <f t="shared" si="3"/>
        <v>0</v>
      </c>
      <c r="G8" s="1" t="str">
        <f t="shared" si="4"/>
        <v>0º0'0''</v>
      </c>
      <c r="H8" s="1" t="str">
        <f t="shared" si="5"/>
        <v>0</v>
      </c>
      <c r="I8" s="1" t="str">
        <f t="shared" si="1"/>
        <v>0º0'0''</v>
      </c>
      <c r="J8" s="11">
        <f t="shared" si="0"/>
        <v>0</v>
      </c>
      <c r="K8" s="3"/>
      <c r="L8" s="3"/>
      <c r="N8" s="16"/>
    </row>
    <row r="9" spans="1:28" x14ac:dyDescent="0.25">
      <c r="A9" s="7">
        <v>7</v>
      </c>
      <c r="B9" s="2"/>
      <c r="C9" s="1" t="str">
        <f t="shared" si="2"/>
        <v>0º0'0''</v>
      </c>
      <c r="D9" s="2"/>
      <c r="E9" s="8"/>
      <c r="F9" s="1">
        <f t="shared" si="3"/>
        <v>0</v>
      </c>
      <c r="G9" s="1" t="str">
        <f t="shared" si="4"/>
        <v>0º0'0''</v>
      </c>
      <c r="H9" s="1" t="str">
        <f t="shared" si="5"/>
        <v>0</v>
      </c>
      <c r="I9" s="1" t="str">
        <f t="shared" si="1"/>
        <v>0º0'0''</v>
      </c>
      <c r="J9" s="11">
        <f t="shared" si="0"/>
        <v>0</v>
      </c>
      <c r="K9" s="3"/>
      <c r="L9" s="3"/>
      <c r="N9" s="15"/>
    </row>
    <row r="10" spans="1:28" x14ac:dyDescent="0.25">
      <c r="A10" s="7">
        <v>8</v>
      </c>
      <c r="B10" s="2"/>
      <c r="C10" s="1" t="str">
        <f t="shared" si="2"/>
        <v>0º0'0''</v>
      </c>
      <c r="D10" s="2"/>
      <c r="E10" s="8"/>
      <c r="F10" s="1">
        <f t="shared" si="3"/>
        <v>0</v>
      </c>
      <c r="G10" s="1" t="str">
        <f t="shared" si="4"/>
        <v>0º0'0''</v>
      </c>
      <c r="H10" s="1" t="str">
        <f t="shared" si="5"/>
        <v>0</v>
      </c>
      <c r="I10" s="1" t="str">
        <f t="shared" si="1"/>
        <v>0º0'0''</v>
      </c>
      <c r="J10" s="11">
        <f t="shared" si="0"/>
        <v>0</v>
      </c>
      <c r="K10" s="3"/>
      <c r="L10" s="3"/>
      <c r="N10" s="15"/>
    </row>
    <row r="11" spans="1:28" x14ac:dyDescent="0.25">
      <c r="A11" s="7">
        <v>9</v>
      </c>
      <c r="B11" s="2"/>
      <c r="C11" s="1" t="str">
        <f t="shared" si="2"/>
        <v>0º0'0''</v>
      </c>
      <c r="D11" s="2"/>
      <c r="E11" s="8"/>
      <c r="F11" s="1">
        <f t="shared" si="3"/>
        <v>0</v>
      </c>
      <c r="G11" s="1" t="str">
        <f t="shared" si="4"/>
        <v>0º0'0''</v>
      </c>
      <c r="H11" s="1" t="str">
        <f t="shared" si="5"/>
        <v>0</v>
      </c>
      <c r="I11" s="1" t="str">
        <f t="shared" si="1"/>
        <v>0º0'0''</v>
      </c>
      <c r="J11" s="11">
        <f t="shared" si="0"/>
        <v>0</v>
      </c>
      <c r="K11" s="3"/>
      <c r="L11" s="3"/>
      <c r="N11" s="15"/>
    </row>
    <row r="12" spans="1:28" x14ac:dyDescent="0.25">
      <c r="A12" s="7">
        <v>10</v>
      </c>
      <c r="B12" s="2"/>
      <c r="C12" s="1" t="str">
        <f t="shared" si="2"/>
        <v>0º0'0''</v>
      </c>
      <c r="D12" s="2"/>
      <c r="E12" s="8"/>
      <c r="F12" s="1">
        <f t="shared" si="3"/>
        <v>0</v>
      </c>
      <c r="G12" s="1" t="str">
        <f t="shared" si="4"/>
        <v>0º0'0''</v>
      </c>
      <c r="H12" s="1" t="str">
        <f t="shared" si="5"/>
        <v>0</v>
      </c>
      <c r="I12" s="14" t="str">
        <f t="shared" si="1"/>
        <v>0º0'0''</v>
      </c>
      <c r="J12" s="11">
        <f t="shared" si="0"/>
        <v>0</v>
      </c>
      <c r="K12" s="3"/>
      <c r="L12" s="3"/>
      <c r="N12" s="15"/>
    </row>
    <row r="13" spans="1:28" x14ac:dyDescent="0.25">
      <c r="A13" s="7">
        <v>11</v>
      </c>
      <c r="B13" s="2"/>
      <c r="C13" s="1" t="str">
        <f t="shared" si="2"/>
        <v>0º0'0''</v>
      </c>
      <c r="D13" s="2"/>
      <c r="E13" s="8"/>
      <c r="F13" s="1">
        <f t="shared" si="3"/>
        <v>0</v>
      </c>
      <c r="G13" s="1" t="str">
        <f t="shared" si="4"/>
        <v>0º0'0''</v>
      </c>
      <c r="H13" s="1" t="str">
        <f t="shared" si="5"/>
        <v>0</v>
      </c>
      <c r="I13" s="1" t="str">
        <f t="shared" si="1"/>
        <v>0º0'0''</v>
      </c>
      <c r="J13" s="11">
        <f t="shared" si="0"/>
        <v>0</v>
      </c>
      <c r="K13" s="3"/>
      <c r="L13" s="3"/>
      <c r="N13" s="15"/>
    </row>
    <row r="14" spans="1:28" x14ac:dyDescent="0.25">
      <c r="A14" s="7">
        <v>12</v>
      </c>
      <c r="B14" s="2"/>
      <c r="C14" s="1" t="str">
        <f t="shared" si="2"/>
        <v>0º0'0''</v>
      </c>
      <c r="D14" s="3"/>
      <c r="E14" s="8"/>
      <c r="F14" s="1">
        <f t="shared" si="3"/>
        <v>0</v>
      </c>
      <c r="G14" s="1" t="str">
        <f t="shared" si="4"/>
        <v>0º0'0''</v>
      </c>
      <c r="H14" s="1" t="str">
        <f t="shared" si="5"/>
        <v>0</v>
      </c>
      <c r="I14" s="1" t="str">
        <f t="shared" si="1"/>
        <v>0º0'0''</v>
      </c>
      <c r="J14" s="11">
        <f t="shared" si="0"/>
        <v>0</v>
      </c>
      <c r="K14" s="3"/>
      <c r="L14" s="3"/>
      <c r="N14" s="15"/>
    </row>
    <row r="15" spans="1:28" x14ac:dyDescent="0.25">
      <c r="A15" s="7">
        <v>13</v>
      </c>
      <c r="B15" s="3"/>
      <c r="C15" s="1" t="str">
        <f t="shared" si="2"/>
        <v>0º0'0''</v>
      </c>
      <c r="D15" s="3"/>
      <c r="E15" s="8"/>
      <c r="F15" s="1">
        <f t="shared" si="3"/>
        <v>0</v>
      </c>
      <c r="G15" s="1" t="str">
        <f t="shared" si="4"/>
        <v>0º0'0''</v>
      </c>
      <c r="H15" s="1" t="str">
        <f t="shared" si="5"/>
        <v>0</v>
      </c>
      <c r="I15" s="1" t="str">
        <f t="shared" si="1"/>
        <v>0º0'0''</v>
      </c>
      <c r="J15" s="11">
        <f t="shared" si="0"/>
        <v>0</v>
      </c>
      <c r="K15" s="3"/>
      <c r="L15" s="3"/>
      <c r="N15" s="15"/>
    </row>
    <row r="16" spans="1:28" x14ac:dyDescent="0.25">
      <c r="A16" s="1"/>
    </row>
    <row r="17" spans="1:18" x14ac:dyDescent="0.25">
      <c r="A17" s="7"/>
      <c r="C17" s="7"/>
      <c r="D17" s="7"/>
      <c r="F17" s="7"/>
      <c r="G17" s="7"/>
      <c r="I17" s="7"/>
      <c r="J17" s="7"/>
      <c r="L17" s="7"/>
      <c r="M17" s="7"/>
    </row>
    <row r="18" spans="1:18" x14ac:dyDescent="0.25">
      <c r="A18" s="7"/>
      <c r="D18" s="7"/>
      <c r="E18" s="17"/>
      <c r="G18" s="7"/>
      <c r="J18" s="7"/>
      <c r="M18" s="7"/>
      <c r="P18" s="7"/>
    </row>
    <row r="19" spans="1:18" x14ac:dyDescent="0.25">
      <c r="E19" s="17"/>
      <c r="O19" s="19" t="s">
        <v>19</v>
      </c>
      <c r="P19" s="19"/>
      <c r="Q19" s="19"/>
      <c r="R19" s="19"/>
    </row>
    <row r="20" spans="1:18" x14ac:dyDescent="0.25">
      <c r="O20" s="19"/>
      <c r="P20" s="19"/>
      <c r="Q20" s="19"/>
      <c r="R20" s="19"/>
    </row>
    <row r="21" spans="1:18" x14ac:dyDescent="0.25">
      <c r="O21" s="19"/>
      <c r="P21" s="19"/>
      <c r="Q21" s="19"/>
      <c r="R21" s="19"/>
    </row>
    <row r="22" spans="1:18" x14ac:dyDescent="0.25">
      <c r="O22" s="19"/>
      <c r="P22" s="19"/>
      <c r="Q22" s="19"/>
      <c r="R22" s="19"/>
    </row>
    <row r="23" spans="1:18" x14ac:dyDescent="0.25">
      <c r="O23" s="19"/>
      <c r="P23" s="19"/>
      <c r="Q23" s="19"/>
      <c r="R23" s="19"/>
    </row>
    <row r="24" spans="1:18" x14ac:dyDescent="0.25">
      <c r="A24" s="1"/>
      <c r="B24" s="1"/>
      <c r="C24" s="1"/>
      <c r="D24" s="1"/>
      <c r="E24" s="1"/>
      <c r="O24" s="19"/>
      <c r="P24" s="19"/>
      <c r="Q24" s="19"/>
      <c r="R24" s="19"/>
    </row>
    <row r="25" spans="1:18" x14ac:dyDescent="0.25">
      <c r="A25" s="1"/>
      <c r="B25" s="1"/>
      <c r="C25" s="1"/>
      <c r="D25" s="1"/>
      <c r="E25" s="1"/>
      <c r="O25" s="19"/>
      <c r="P25" s="19"/>
      <c r="Q25" s="19"/>
      <c r="R25" s="19"/>
    </row>
    <row r="26" spans="1:18" x14ac:dyDescent="0.25">
      <c r="O26" s="19"/>
      <c r="P26" s="19"/>
      <c r="Q26" s="19"/>
      <c r="R26" s="19"/>
    </row>
    <row r="27" spans="1:18" x14ac:dyDescent="0.25">
      <c r="O27" s="19"/>
      <c r="P27" s="19"/>
      <c r="Q27" s="19"/>
      <c r="R27" s="19"/>
    </row>
    <row r="28" spans="1:18" x14ac:dyDescent="0.25">
      <c r="O28" s="19"/>
      <c r="P28" s="19"/>
      <c r="Q28" s="19"/>
      <c r="R28" s="19"/>
    </row>
    <row r="29" spans="1:18" x14ac:dyDescent="0.25">
      <c r="D29" s="12"/>
      <c r="O29" s="19"/>
      <c r="P29" s="19"/>
      <c r="Q29" s="19"/>
      <c r="R29" s="19"/>
    </row>
    <row r="30" spans="1:18" x14ac:dyDescent="0.25">
      <c r="O30" s="19"/>
      <c r="P30" s="19"/>
      <c r="Q30" s="19"/>
      <c r="R30" s="19"/>
    </row>
  </sheetData>
  <mergeCells count="6">
    <mergeCell ref="B1:C1"/>
    <mergeCell ref="O1:Q1"/>
    <mergeCell ref="H1:I1"/>
    <mergeCell ref="F1:G1"/>
    <mergeCell ref="O19:R30"/>
    <mergeCell ref="L1:M1"/>
  </mergeCells>
  <pageMargins left="0.7" right="0.7" top="0.75" bottom="0.75" header="0.3" footer="0.3"/>
  <pageSetup paperSize="9" orientation="portrait" horizontalDpi="300" verticalDpi="300" r:id="rId1"/>
  <ignoredErrors>
    <ignoredError sqref="H5 H6:H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lcular_estacas">
                <anchor moveWithCells="1" sizeWithCells="1">
                  <from>
                    <xdr:col>14</xdr:col>
                    <xdr:colOff>57150</xdr:colOff>
                    <xdr:row>7</xdr:row>
                    <xdr:rowOff>85725</xdr:rowOff>
                  </from>
                  <to>
                    <xdr:col>19</xdr:col>
                    <xdr:colOff>266700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eck_correcao">
              <controlPr defaultSize="0" autoFill="0" autoLine="0" autoPict="0" macro="[0]!check_raio">
                <anchor moveWithCells="1">
                  <from>
                    <xdr:col>14</xdr:col>
                    <xdr:colOff>152400</xdr:colOff>
                    <xdr:row>4</xdr:row>
                    <xdr:rowOff>123825</xdr:rowOff>
                  </from>
                  <to>
                    <xdr:col>14</xdr:col>
                    <xdr:colOff>1647825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concordancia">
                <anchor moveWithCells="1" sizeWithCells="1">
                  <from>
                    <xdr:col>14</xdr:col>
                    <xdr:colOff>66675</xdr:colOff>
                    <xdr:row>10</xdr:row>
                    <xdr:rowOff>171450</xdr:rowOff>
                  </from>
                  <to>
                    <xdr:col>19</xdr:col>
                    <xdr:colOff>276225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transicao">
                <anchor moveWithCells="1" sizeWithCells="1">
                  <from>
                    <xdr:col>14</xdr:col>
                    <xdr:colOff>104775</xdr:colOff>
                    <xdr:row>14</xdr:row>
                    <xdr:rowOff>190500</xdr:rowOff>
                  </from>
                  <to>
                    <xdr:col>19</xdr:col>
                    <xdr:colOff>266700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Costa</dc:creator>
  <cp:lastModifiedBy>Rafael Costa</cp:lastModifiedBy>
  <dcterms:created xsi:type="dcterms:W3CDTF">2020-10-24T13:32:16Z</dcterms:created>
  <dcterms:modified xsi:type="dcterms:W3CDTF">2023-05-30T19:16:09Z</dcterms:modified>
</cp:coreProperties>
</file>